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o atualizado" sheetId="1" state="visible" r:id="rId3"/>
    <sheet name="Indices" sheetId="2" state="visible" r:id="rId4"/>
    <sheet name="Conta homologa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7" authorId="0">
      <text>
        <r>
          <rPr>
            <sz val="10"/>
            <rFont val="Arial"/>
            <family val="2"/>
          </rPr>
          <t xml:space="preserve">Substituir pelo saldo atualizado do extrato da conta judicial (BB). Por padrão está o valor nominal.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IPCA de out/2026 ainda não divulgado (cálculo em 19/10/2026). Preencher quando sair.</t>
        </r>
      </text>
    </comment>
    <comment ref="C11" authorId="0">
      <text>
        <r>
          <rPr>
            <sz val="10"/>
            <rFont val="Arial"/>
            <family val="2"/>
          </rPr>
          <t xml:space="preserve">Taxa Legal de out/2026 não localizada. Preencher com o valor do BCB (SGS 29543). Fração 19/31 = juros até 19/10/2026.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8" authorId="0">
      <text>
        <r>
          <rPr>
            <sz val="10"/>
            <rFont val="Arial"/>
            <family val="2"/>
          </rPr>
          <t xml:space="preserve">Valor da planilha da exequente (ID 93529475, pág. 4): R$ 7.268,92 + R$ 8.666,57.</t>
        </r>
      </text>
    </comment>
  </commentList>
</comments>
</file>

<file path=xl/sharedStrings.xml><?xml version="1.0" encoding="utf-8"?>
<sst xmlns="http://schemas.openxmlformats.org/spreadsheetml/2006/main" count="115" uniqueCount="113">
  <si>
    <t xml:space="preserve">CUMPRIMENTO DE SENTENÇA nº 0800122-42.2025.8.18.0061 – Vara Única de Miguel Alves/PI</t>
  </si>
  <si>
    <t xml:space="preserve">Exequente: FRANCISCA SOUSA DA SILVA   |   Executado: BANCO PAN S.A.</t>
  </si>
  <si>
    <t xml:space="preserve">Atualização do débito homologado (ID 98976248) de 31/03/2026 até 19/10/2026</t>
  </si>
  <si>
    <t xml:space="preserve">Data-base da conta homologada</t>
  </si>
  <si>
    <t xml:space="preserve">Data do cálculo</t>
  </si>
  <si>
    <t xml:space="preserve">Fator IPCA no período (abr–out/2026)</t>
  </si>
  <si>
    <t xml:space="preserve">Taxa Legal acumulada no período (juros simples)</t>
  </si>
  <si>
    <t xml:space="preserve">A) CONDENAÇÃO PRINCIPAL (título judicial)</t>
  </si>
  <si>
    <t xml:space="preserve">Fundamento</t>
  </si>
  <si>
    <t xml:space="preserve">Principal em dobro corrigido até 30/03/2026</t>
  </si>
  <si>
    <t xml:space="preserve">Conta homologada</t>
  </si>
  <si>
    <t xml:space="preserve">Juros em dobro até 30/03/2026</t>
  </si>
  <si>
    <t xml:space="preserve">Principal em dobro corrigido até 19/10/2026</t>
  </si>
  <si>
    <t xml:space="preserve">IPCA – Lei 14.905/2024</t>
  </si>
  <si>
    <t xml:space="preserve">Juros até 30/03/2026, só corrigidos</t>
  </si>
  <si>
    <t xml:space="preserve">sem juros sobre juros</t>
  </si>
  <si>
    <t xml:space="preserve">Juros de mora de 31/03/2026 a 19/10/2026</t>
  </si>
  <si>
    <t xml:space="preserve">Taxa Legal (art. 406 CC)</t>
  </si>
  <si>
    <t xml:space="preserve">Subtotal da repetição em dobro</t>
  </si>
  <si>
    <t xml:space="preserve">Honorários de sucumbência 10% (fase de conhecimento)</t>
  </si>
  <si>
    <t xml:space="preserve">sentença – art. 85, §2º</t>
  </si>
  <si>
    <t xml:space="preserve">TOTAL DA CONDENAÇÃO ATUALIZADA</t>
  </si>
  <si>
    <t xml:space="preserve">B) ACRÉSCIMOS DO ART. 523, §1º, CPC (decisão ID 98976248)</t>
  </si>
  <si>
    <t xml:space="preserve">Multa de 10%</t>
  </si>
  <si>
    <t xml:space="preserve">suspensa pelo TJPI (AI 0763031-67.2026)</t>
  </si>
  <si>
    <t xml:space="preserve">Honorários de 10% da fase de cumprimento</t>
  </si>
  <si>
    <t xml:space="preserve">suspensos pelo TJPI (AI 0763031-67.2026)</t>
  </si>
  <si>
    <t xml:space="preserve">TOTAL GERAL DEVIDO EM 19/10/2026</t>
  </si>
  <si>
    <t xml:space="preserve">C) DEPÓSITOS JUDICIAIS DO BANCO (abater o SALDO da conta judicial no levantamento – STJ, Tema 677)</t>
  </si>
  <si>
    <t xml:space="preserve">Depósito</t>
  </si>
  <si>
    <t xml:space="preserve">Valor nominal</t>
  </si>
  <si>
    <t xml:space="preserve">Saldo atual da conta judicial</t>
  </si>
  <si>
    <t xml:space="preserve">06/05/2026 – conta 4900106797897 – garantia ("estornos")</t>
  </si>
  <si>
    <t xml:space="preserve">06/05/2026 – depósito "incontroverso" (R$ 4.641,14)</t>
  </si>
  <si>
    <t xml:space="preserve">21/08/2026 – conta 3100123124266 – "saldo incontroverso"</t>
  </si>
  <si>
    <t xml:space="preserve">Total depositado</t>
  </si>
  <si>
    <t xml:space="preserve">D) RESULTADO</t>
  </si>
  <si>
    <t xml:space="preserve">Total geral devido (A + B)</t>
  </si>
  <si>
    <t xml:space="preserve">(–) Saldo das contas judiciais</t>
  </si>
  <si>
    <t xml:space="preserve">SALDO REMANESCENTE A EXECUTAR</t>
  </si>
  <si>
    <t xml:space="preserve">Cenário sem multa e honorários do art. 523 (negativo = depósitos superam o devido)</t>
  </si>
  <si>
    <t xml:space="preserve">Valor que o banco quer reter com a tese dos "estornos" (garantia)</t>
  </si>
  <si>
    <t xml:space="preserve">Soma nominal de todos os "estornos" do extrato do banco (28 × R$ 200 + 31 × R$ 224)</t>
  </si>
  <si>
    <t xml:space="preserve">Diferença sem nenhuma explicação na tese do banco</t>
  </si>
  <si>
    <t xml:space="preserve">LEGENDA: texto azul = valor digitado; fundo amarelo = conferir ou preencher; verde = vem de outra aba; preto = fórmula.</t>
  </si>
  <si>
    <t xml:space="preserve">Critérios: (1) parte da conta homologada de R$ 35.057,00 (ID 93529475 / 98976248); (2) correção pelo IPCA e juros pela Taxa Legal (Selic − IPCA), conforme o título (Lei 14.905/2024);</t>
  </si>
  <si>
    <t xml:space="preserve">(3) os juros novos incidem só sobre o principal, e os juros já vencidos são apenas corrigidos (sem anatocismo); (4) multa e honorários do art. 523 calculados sobre a condenação atualizada (a decisão fixou sobre R$ 35.057,00);</t>
  </si>
  <si>
    <t xml:space="preserve">(5) o depósito judicial não cessa a mora (STJ, REsp 1.820.963/SP, Tema 677): abate-se o saldo da conta judicial no levantamento.</t>
  </si>
  <si>
    <t xml:space="preserve">Out/2026 sem índice divulgado: o resultado está levemente subestimado até o preenchimento.</t>
  </si>
  <si>
    <t xml:space="preserve">ÍNDICES MENSAIS (período após a data-base da conta homologada, 31/03/2026)</t>
  </si>
  <si>
    <t xml:space="preserve">Células amarelas = dados de entrada. Conferir no IBGE (IPCA) e no BCB, série SGS 29543 (Taxa Legal, Lei 14.905/2024) antes de protocolar.</t>
  </si>
  <si>
    <t xml:space="preserve">Mês</t>
  </si>
  <si>
    <t xml:space="preserve">IPCA do mês</t>
  </si>
  <si>
    <t xml:space="preserve">Taxa Legal do mês (juros simples)</t>
  </si>
  <si>
    <t xml:space="preserve">Fração do mês computada</t>
  </si>
  <si>
    <t xml:space="preserve">Fator IPCA acumulado</t>
  </si>
  <si>
    <t xml:space="preserve">Juros acumulados (soma)</t>
  </si>
  <si>
    <t xml:space="preserve">04/2026</t>
  </si>
  <si>
    <t xml:space="preserve">05/2026</t>
  </si>
  <si>
    <t xml:space="preserve">06/2026</t>
  </si>
  <si>
    <t xml:space="preserve">07/2026</t>
  </si>
  <si>
    <t xml:space="preserve">08/2026</t>
  </si>
  <si>
    <t xml:space="preserve">09/2026</t>
  </si>
  <si>
    <t xml:space="preserve">10/2026</t>
  </si>
  <si>
    <t xml:space="preserve">Fontes (conferir): IPCA abr–set/2026 – IBGE, divulgado em tabelas como iDinheiro e SindusconPR (set/2026 = 0,82%; ago/2026 = -0,32%).</t>
  </si>
  <si>
    <t xml:space="preserve">Taxa Legal abr–set/2026 – valores atribuídos ao BCB (SGS 29543) por eCalculos e CalculaOnline. Não foi possível acessar o BCB diretamente.</t>
  </si>
  <si>
    <t xml:space="preserve">Taxa Legal = Selic − IPCA (art. 406, §1º, CC, red. Lei 14.905/2024), com piso zero, aplicada como juros simples (Res. CMN 5.171/2024).</t>
  </si>
  <si>
    <t xml:space="preserve">Out/2026 ficou com IPCA zero e Taxa Legal zero até a divulgação: o resultado está ligeiramente SUBESTIMADO.</t>
  </si>
  <si>
    <t xml:space="preserve">CONTA HOMOLOGADA – ID 93529475 (data-base 30/03/2026), homologada pela decisão ID 98976248</t>
  </si>
  <si>
    <t xml:space="preserve">Contrato 365740967-2 – original</t>
  </si>
  <si>
    <t xml:space="preserve">Contrato 365740967-2 – atualizado</t>
  </si>
  <si>
    <t xml:space="preserve">Contrato 365738167-3 – original</t>
  </si>
  <si>
    <t xml:space="preserve">Contrato 365738167-3 – atualizado</t>
  </si>
  <si>
    <t xml:space="preserve">11/2022</t>
  </si>
  <si>
    <t xml:space="preserve">12/2022</t>
  </si>
  <si>
    <t xml:space="preserve">01/2023</t>
  </si>
  <si>
    <t xml:space="preserve">02/2023</t>
  </si>
  <si>
    <t xml:space="preserve">03/2023</t>
  </si>
  <si>
    <t xml:space="preserve">04/2023</t>
  </si>
  <si>
    <t xml:space="preserve">05/2023</t>
  </si>
  <si>
    <t xml:space="preserve">06/2023</t>
  </si>
  <si>
    <t xml:space="preserve">07/2023</t>
  </si>
  <si>
    <t xml:space="preserve">08/2023</t>
  </si>
  <si>
    <t xml:space="preserve">09/2023</t>
  </si>
  <si>
    <t xml:space="preserve">10/2023</t>
  </si>
  <si>
    <t xml:space="preserve">11/2023</t>
  </si>
  <si>
    <t xml:space="preserve">12/2023</t>
  </si>
  <si>
    <t xml:space="preserve">01/2024</t>
  </si>
  <si>
    <t xml:space="preserve">02/2024</t>
  </si>
  <si>
    <t xml:space="preserve">03/2024</t>
  </si>
  <si>
    <t xml:space="preserve">04/2024</t>
  </si>
  <si>
    <t xml:space="preserve">05/2024</t>
  </si>
  <si>
    <t xml:space="preserve">06/2024</t>
  </si>
  <si>
    <t xml:space="preserve">07/2024</t>
  </si>
  <si>
    <t xml:space="preserve">08/2024</t>
  </si>
  <si>
    <t xml:space="preserve">09/2024</t>
  </si>
  <si>
    <t xml:space="preserve">10/2024</t>
  </si>
  <si>
    <t xml:space="preserve">11/2024</t>
  </si>
  <si>
    <t xml:space="preserve">12/2024</t>
  </si>
  <si>
    <t xml:space="preserve">01/2025</t>
  </si>
  <si>
    <t xml:space="preserve">02/2025</t>
  </si>
  <si>
    <t xml:space="preserve">03/2025</t>
  </si>
  <si>
    <t xml:space="preserve">04/2025</t>
  </si>
  <si>
    <t xml:space="preserve">05/2025</t>
  </si>
  <si>
    <t xml:space="preserve">TOTAL</t>
  </si>
  <si>
    <t xml:space="preserve">Principal corrigido simples (soma das colunas atualizadas)</t>
  </si>
  <si>
    <t xml:space="preserve">Total simples com juros (conta da exequente)</t>
  </si>
  <si>
    <t xml:space="preserve">Juros embutidos (simples)</t>
  </si>
  <si>
    <t xml:space="preserve">Total em dobro</t>
  </si>
  <si>
    <t xml:space="preserve">Honorários 10% (fase de conhecimento)</t>
  </si>
  <si>
    <t xml:space="preserve">VALOR HOMOLOGADO</t>
  </si>
  <si>
    <t xml:space="preserve">Valores transcritos da planilha ID 93529475. Conferência: o total deve dar R$ 35.057,00, igual ao valor homologado.</t>
  </si>
  <si>
    <t xml:space="preserve">Obs.: no extrato do banco o contrato 365740967-2 aparece com 28 parcelas estornadas; a planilha homologada tem 29 (nov/22 a mar/25).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</si>
</sst>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00000"/>
    <numFmt numFmtId="167" formatCode="0.0000%"/>
    <numFmt numFmtId="168" formatCode="&quot;R$ &quot;#,##0.00;&quot;-R$ &quot;#,##0.00;\-"/>
    <numFmt numFmtId="169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2"/>
      <c r="C3" s="2"/>
    </row>
    <row r="4" customFormat="false" ht="15" hidden="false" customHeight="false" outlineLevel="0" collapsed="false">
      <c r="A4" s="2"/>
      <c r="B4" s="2"/>
      <c r="C4" s="2"/>
    </row>
    <row r="5" customFormat="false" ht="15" hidden="false" customHeight="false" outlineLevel="0" collapsed="false">
      <c r="A5" s="2" t="s">
        <v>3</v>
      </c>
      <c r="B5" s="4" t="n">
        <v>46112</v>
      </c>
      <c r="C5" s="2"/>
    </row>
    <row r="6" customFormat="false" ht="15" hidden="false" customHeight="false" outlineLevel="0" collapsed="false">
      <c r="A6" s="2" t="s">
        <v>4</v>
      </c>
      <c r="B6" s="4" t="n">
        <v>46314</v>
      </c>
      <c r="C6" s="2"/>
    </row>
    <row r="7" customFormat="false" ht="15" hidden="false" customHeight="false" outlineLevel="0" collapsed="false">
      <c r="A7" s="2" t="s">
        <v>5</v>
      </c>
      <c r="B7" s="5" t="n">
        <f aca="false">Indices!E11</f>
        <v>1.01991654743044</v>
      </c>
      <c r="C7" s="2"/>
    </row>
    <row r="8" customFormat="false" ht="15" hidden="false" customHeight="false" outlineLevel="0" collapsed="false">
      <c r="A8" s="2" t="s">
        <v>6</v>
      </c>
      <c r="B8" s="6" t="n">
        <f aca="false">Indices!F11</f>
        <v>0.047778</v>
      </c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7" t="s">
        <v>7</v>
      </c>
      <c r="B10" s="8"/>
      <c r="C10" s="8" t="s">
        <v>8</v>
      </c>
    </row>
    <row r="11" customFormat="false" ht="15" hidden="false" customHeight="false" outlineLevel="0" collapsed="false">
      <c r="A11" s="2" t="s">
        <v>9</v>
      </c>
      <c r="B11" s="9" t="n">
        <f aca="false">2*'Conta homologada'!B37</f>
        <v>28028.28</v>
      </c>
      <c r="C11" s="10" t="s">
        <v>10</v>
      </c>
    </row>
    <row r="12" customFormat="false" ht="15" hidden="false" customHeight="false" outlineLevel="0" collapsed="false">
      <c r="A12" s="2" t="s">
        <v>11</v>
      </c>
      <c r="B12" s="9" t="n">
        <f aca="false">2*'Conta homologada'!B39</f>
        <v>3841.72</v>
      </c>
      <c r="C12" s="10" t="s">
        <v>10</v>
      </c>
    </row>
    <row r="13" customFormat="false" ht="15" hidden="false" customHeight="false" outlineLevel="0" collapsed="false">
      <c r="A13" s="2" t="s">
        <v>12</v>
      </c>
      <c r="B13" s="11" t="n">
        <f aca="false">ROUND(B11*$B$7,2)</f>
        <v>28586.51</v>
      </c>
      <c r="C13" s="10" t="s">
        <v>13</v>
      </c>
    </row>
    <row r="14" customFormat="false" ht="15" hidden="false" customHeight="false" outlineLevel="0" collapsed="false">
      <c r="A14" s="2" t="s">
        <v>14</v>
      </c>
      <c r="B14" s="11" t="n">
        <f aca="false">ROUND(B12*$B$7,2)</f>
        <v>3918.23</v>
      </c>
      <c r="C14" s="10" t="s">
        <v>15</v>
      </c>
    </row>
    <row r="15" customFormat="false" ht="15" hidden="false" customHeight="false" outlineLevel="0" collapsed="false">
      <c r="A15" s="2" t="s">
        <v>16</v>
      </c>
      <c r="B15" s="11" t="n">
        <f aca="false">ROUND(B13*$B$8,2)</f>
        <v>1365.81</v>
      </c>
      <c r="C15" s="10" t="s">
        <v>17</v>
      </c>
    </row>
    <row r="16" customFormat="false" ht="15" hidden="false" customHeight="false" outlineLevel="0" collapsed="false">
      <c r="A16" s="2" t="s">
        <v>18</v>
      </c>
      <c r="B16" s="11" t="n">
        <f aca="false">B13+B14+B15</f>
        <v>33870.55</v>
      </c>
      <c r="C16" s="10"/>
    </row>
    <row r="17" customFormat="false" ht="15" hidden="false" customHeight="false" outlineLevel="0" collapsed="false">
      <c r="A17" s="2" t="s">
        <v>19</v>
      </c>
      <c r="B17" s="11" t="n">
        <f aca="false">ROUND(B16*10%,2)</f>
        <v>3387.06</v>
      </c>
      <c r="C17" s="10" t="s">
        <v>20</v>
      </c>
    </row>
    <row r="18" customFormat="false" ht="15" hidden="false" customHeight="false" outlineLevel="0" collapsed="false">
      <c r="A18" s="12" t="s">
        <v>21</v>
      </c>
      <c r="B18" s="13" t="n">
        <f aca="false">B16+B17</f>
        <v>37257.61</v>
      </c>
      <c r="C18" s="10"/>
    </row>
    <row r="19" customFormat="false" ht="15" hidden="false" customHeight="false" outlineLevel="0" collapsed="false">
      <c r="A19" s="2"/>
      <c r="B19" s="2"/>
      <c r="C19" s="2"/>
    </row>
    <row r="20" customFormat="false" ht="15" hidden="false" customHeight="false" outlineLevel="0" collapsed="false">
      <c r="A20" s="7" t="s">
        <v>22</v>
      </c>
      <c r="B20" s="8"/>
      <c r="C20" s="8"/>
    </row>
    <row r="21" customFormat="false" ht="15" hidden="false" customHeight="false" outlineLevel="0" collapsed="false">
      <c r="A21" s="2" t="s">
        <v>23</v>
      </c>
      <c r="B21" s="11" t="n">
        <f aca="false">ROUND(B18*10%,2)</f>
        <v>3725.76</v>
      </c>
      <c r="C21" s="10" t="s">
        <v>24</v>
      </c>
    </row>
    <row r="22" customFormat="false" ht="15" hidden="false" customHeight="false" outlineLevel="0" collapsed="false">
      <c r="A22" s="2" t="s">
        <v>25</v>
      </c>
      <c r="B22" s="11" t="n">
        <f aca="false">ROUND(B18*10%,2)</f>
        <v>3725.76</v>
      </c>
      <c r="C22" s="10" t="s">
        <v>26</v>
      </c>
    </row>
    <row r="23" customFormat="false" ht="15" hidden="false" customHeight="false" outlineLevel="0" collapsed="false">
      <c r="A23" s="14" t="s">
        <v>27</v>
      </c>
      <c r="B23" s="15" t="n">
        <f aca="false">B18+B21+B22</f>
        <v>44709.13</v>
      </c>
      <c r="C23" s="10"/>
    </row>
    <row r="24" customFormat="false" ht="15" hidden="false" customHeight="false" outlineLevel="0" collapsed="false">
      <c r="A24" s="2"/>
      <c r="B24" s="2"/>
      <c r="C24" s="2"/>
    </row>
    <row r="25" customFormat="false" ht="15" hidden="false" customHeight="false" outlineLevel="0" collapsed="false">
      <c r="A25" s="7" t="s">
        <v>28</v>
      </c>
      <c r="B25" s="8"/>
      <c r="C25" s="8"/>
    </row>
    <row r="26" customFormat="false" ht="15" hidden="false" customHeight="false" outlineLevel="0" collapsed="false">
      <c r="A26" s="16" t="s">
        <v>29</v>
      </c>
      <c r="B26" s="16" t="s">
        <v>30</v>
      </c>
      <c r="C26" s="16" t="s">
        <v>31</v>
      </c>
    </row>
    <row r="27" customFormat="false" ht="15" hidden="false" customHeight="false" outlineLevel="0" collapsed="false">
      <c r="A27" s="17" t="s">
        <v>32</v>
      </c>
      <c r="B27" s="18" t="n">
        <v>30724.36</v>
      </c>
      <c r="C27" s="19" t="n">
        <f aca="false">B27</f>
        <v>30724.36</v>
      </c>
    </row>
    <row r="28" customFormat="false" ht="15" hidden="false" customHeight="false" outlineLevel="0" collapsed="false">
      <c r="A28" s="17" t="s">
        <v>33</v>
      </c>
      <c r="B28" s="18" t="n">
        <v>4641.14</v>
      </c>
      <c r="C28" s="19" t="n">
        <f aca="false">B28</f>
        <v>4641.14</v>
      </c>
    </row>
    <row r="29" customFormat="false" ht="15" hidden="false" customHeight="false" outlineLevel="0" collapsed="false">
      <c r="A29" s="17" t="s">
        <v>34</v>
      </c>
      <c r="B29" s="18" t="n">
        <v>7011.4</v>
      </c>
      <c r="C29" s="19" t="n">
        <f aca="false">B29</f>
        <v>7011.4</v>
      </c>
    </row>
    <row r="30" customFormat="false" ht="15" hidden="false" customHeight="false" outlineLevel="0" collapsed="false">
      <c r="A30" s="2" t="s">
        <v>35</v>
      </c>
      <c r="B30" s="13" t="n">
        <f aca="false">SUM(B27:B29)</f>
        <v>42376.9</v>
      </c>
      <c r="C30" s="13" t="n">
        <f aca="false">SUM(C27:C29)</f>
        <v>42376.9</v>
      </c>
    </row>
    <row r="31" customFormat="false" ht="15" hidden="false" customHeight="false" outlineLevel="0" collapsed="false">
      <c r="A31" s="2"/>
      <c r="B31" s="2"/>
      <c r="C31" s="2"/>
    </row>
    <row r="32" customFormat="false" ht="15" hidden="false" customHeight="false" outlineLevel="0" collapsed="false">
      <c r="A32" s="7" t="s">
        <v>36</v>
      </c>
      <c r="B32" s="8"/>
      <c r="C32" s="8"/>
    </row>
    <row r="33" customFormat="false" ht="15" hidden="false" customHeight="false" outlineLevel="0" collapsed="false">
      <c r="A33" s="2" t="s">
        <v>37</v>
      </c>
      <c r="B33" s="11" t="n">
        <f aca="false">B23</f>
        <v>44709.13</v>
      </c>
      <c r="C33" s="2"/>
    </row>
    <row r="34" customFormat="false" ht="15" hidden="false" customHeight="false" outlineLevel="0" collapsed="false">
      <c r="A34" s="2" t="s">
        <v>38</v>
      </c>
      <c r="B34" s="11" t="n">
        <f aca="false">-C30</f>
        <v>-42376.9</v>
      </c>
      <c r="C34" s="2"/>
    </row>
    <row r="35" customFormat="false" ht="15" hidden="false" customHeight="false" outlineLevel="0" collapsed="false">
      <c r="A35" s="14" t="s">
        <v>39</v>
      </c>
      <c r="B35" s="15" t="n">
        <f aca="false">B33+B34</f>
        <v>2332.23</v>
      </c>
      <c r="C35" s="2"/>
    </row>
    <row r="36" customFormat="false" ht="15" hidden="false" customHeight="false" outlineLevel="0" collapsed="false">
      <c r="A36" s="2"/>
      <c r="B36" s="2"/>
      <c r="C36" s="2"/>
    </row>
    <row r="37" customFormat="false" ht="15" hidden="false" customHeight="false" outlineLevel="0" collapsed="false">
      <c r="A37" s="2" t="s">
        <v>40</v>
      </c>
      <c r="B37" s="11" t="n">
        <f aca="false">B18-C30</f>
        <v>-5119.29000000001</v>
      </c>
      <c r="C37" s="2"/>
    </row>
    <row r="38" customFormat="false" ht="15" hidden="false" customHeight="false" outlineLevel="0" collapsed="false">
      <c r="A38" s="2"/>
      <c r="B38" s="2"/>
      <c r="C38" s="2"/>
    </row>
    <row r="39" customFormat="false" ht="15" hidden="false" customHeight="false" outlineLevel="0" collapsed="false">
      <c r="A39" s="3" t="s">
        <v>41</v>
      </c>
      <c r="B39" s="11" t="n">
        <f aca="false">C27</f>
        <v>30724.36</v>
      </c>
      <c r="C39" s="2"/>
    </row>
    <row r="40" customFormat="false" ht="15" hidden="false" customHeight="false" outlineLevel="0" collapsed="false">
      <c r="A40" s="3" t="s">
        <v>42</v>
      </c>
      <c r="B40" s="11" t="n">
        <f aca="false">28*200+31*224</f>
        <v>12544</v>
      </c>
      <c r="C40" s="2"/>
    </row>
    <row r="41" customFormat="false" ht="15" hidden="false" customHeight="false" outlineLevel="0" collapsed="false">
      <c r="A41" s="3" t="s">
        <v>43</v>
      </c>
      <c r="B41" s="11" t="n">
        <f aca="false">B39-B40</f>
        <v>18180.36</v>
      </c>
      <c r="C41" s="2"/>
    </row>
    <row r="42" customFormat="false" ht="15" hidden="false" customHeight="false" outlineLevel="0" collapsed="false">
      <c r="A42" s="2"/>
      <c r="B42" s="2"/>
      <c r="C42" s="2"/>
    </row>
    <row r="43" customFormat="false" ht="15" hidden="false" customHeight="false" outlineLevel="0" collapsed="false">
      <c r="A43" s="10" t="s">
        <v>44</v>
      </c>
      <c r="B43" s="2"/>
      <c r="C43" s="2"/>
    </row>
    <row r="44" customFormat="false" ht="15" hidden="false" customHeight="false" outlineLevel="0" collapsed="false">
      <c r="A44" s="10" t="s">
        <v>45</v>
      </c>
      <c r="B44" s="2"/>
      <c r="C44" s="2"/>
    </row>
    <row r="45" customFormat="false" ht="15" hidden="false" customHeight="false" outlineLevel="0" collapsed="false">
      <c r="A45" s="10" t="s">
        <v>46</v>
      </c>
      <c r="B45" s="2"/>
      <c r="C45" s="2"/>
    </row>
    <row r="46" customFormat="false" ht="15" hidden="false" customHeight="false" outlineLevel="0" collapsed="false">
      <c r="A46" s="10" t="s">
        <v>47</v>
      </c>
      <c r="B46" s="2"/>
      <c r="C46" s="2"/>
    </row>
    <row r="47" customFormat="false" ht="15" hidden="false" customHeight="false" outlineLevel="0" collapsed="false">
      <c r="A47" s="10" t="s">
        <v>48</v>
      </c>
      <c r="B47" s="2"/>
      <c r="C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49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0" t="s">
        <v>50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45" hidden="false" customHeight="true" outlineLevel="0" collapsed="false">
      <c r="A4" s="20" t="s">
        <v>51</v>
      </c>
      <c r="B4" s="20" t="s">
        <v>52</v>
      </c>
      <c r="C4" s="20" t="s">
        <v>53</v>
      </c>
      <c r="D4" s="20" t="s">
        <v>54</v>
      </c>
      <c r="E4" s="20" t="s">
        <v>55</v>
      </c>
      <c r="F4" s="20" t="s">
        <v>56</v>
      </c>
    </row>
    <row r="5" customFormat="false" ht="15" hidden="false" customHeight="false" outlineLevel="0" collapsed="false">
      <c r="A5" s="21" t="s">
        <v>57</v>
      </c>
      <c r="B5" s="22" t="n">
        <v>0.0067</v>
      </c>
      <c r="C5" s="22" t="n">
        <v>0.007687</v>
      </c>
      <c r="D5" s="23" t="n">
        <v>1</v>
      </c>
      <c r="E5" s="24" t="n">
        <f aca="false">1*(1+B5)</f>
        <v>1.0067</v>
      </c>
      <c r="F5" s="25" t="n">
        <f aca="false">0+C5*D5</f>
        <v>0.007687</v>
      </c>
    </row>
    <row r="6" customFormat="false" ht="15" hidden="false" customHeight="false" outlineLevel="0" collapsed="false">
      <c r="A6" s="21" t="s">
        <v>58</v>
      </c>
      <c r="B6" s="22" t="n">
        <v>0.0058</v>
      </c>
      <c r="C6" s="22" t="n">
        <v>0.001983</v>
      </c>
      <c r="D6" s="23" t="n">
        <v>1</v>
      </c>
      <c r="E6" s="24" t="n">
        <f aca="false">E5*(1+B6)</f>
        <v>1.01253886</v>
      </c>
      <c r="F6" s="25" t="n">
        <f aca="false">F5+C6*D6</f>
        <v>0.00967</v>
      </c>
    </row>
    <row r="7" customFormat="false" ht="15" hidden="false" customHeight="false" outlineLevel="0" collapsed="false">
      <c r="A7" s="21" t="s">
        <v>59</v>
      </c>
      <c r="B7" s="22" t="n">
        <v>0.0016</v>
      </c>
      <c r="C7" s="22" t="n">
        <v>0.004506</v>
      </c>
      <c r="D7" s="23" t="n">
        <v>1</v>
      </c>
      <c r="E7" s="24" t="n">
        <f aca="false">E6*(1+B7)</f>
        <v>1.014158922176</v>
      </c>
      <c r="F7" s="25" t="n">
        <f aca="false">F6+C7*D7</f>
        <v>0.014176</v>
      </c>
    </row>
    <row r="8" customFormat="false" ht="15" hidden="false" customHeight="false" outlineLevel="0" collapsed="false">
      <c r="A8" s="21" t="s">
        <v>60</v>
      </c>
      <c r="B8" s="22" t="n">
        <v>0.0007</v>
      </c>
      <c r="C8" s="22" t="n">
        <v>0.007066</v>
      </c>
      <c r="D8" s="23" t="n">
        <v>1</v>
      </c>
      <c r="E8" s="24" t="n">
        <f aca="false">E7*(1+B8)</f>
        <v>1.01486883342152</v>
      </c>
      <c r="F8" s="25" t="n">
        <f aca="false">F7+C8*D8</f>
        <v>0.021242</v>
      </c>
    </row>
    <row r="9" customFormat="false" ht="15" hidden="false" customHeight="false" outlineLevel="0" collapsed="false">
      <c r="A9" s="21" t="s">
        <v>61</v>
      </c>
      <c r="B9" s="22" t="n">
        <v>-0.0032</v>
      </c>
      <c r="C9" s="22" t="n">
        <v>0.011545</v>
      </c>
      <c r="D9" s="23" t="n">
        <v>1</v>
      </c>
      <c r="E9" s="24" t="n">
        <f aca="false">E8*(1+B9)</f>
        <v>1.01162125315457</v>
      </c>
      <c r="F9" s="25" t="n">
        <f aca="false">F8+C9*D9</f>
        <v>0.032787</v>
      </c>
    </row>
    <row r="10" customFormat="false" ht="15" hidden="false" customHeight="false" outlineLevel="0" collapsed="false">
      <c r="A10" s="21" t="s">
        <v>62</v>
      </c>
      <c r="B10" s="22" t="n">
        <v>0.0082</v>
      </c>
      <c r="C10" s="22" t="n">
        <v>0.014991</v>
      </c>
      <c r="D10" s="23" t="n">
        <v>1</v>
      </c>
      <c r="E10" s="24" t="n">
        <f aca="false">E9*(1+B10)</f>
        <v>1.01991654743044</v>
      </c>
      <c r="F10" s="25" t="n">
        <f aca="false">F9+C10*D10</f>
        <v>0.047778</v>
      </c>
    </row>
    <row r="11" customFormat="false" ht="15" hidden="false" customHeight="false" outlineLevel="0" collapsed="false">
      <c r="A11" s="21" t="s">
        <v>63</v>
      </c>
      <c r="B11" s="22" t="n">
        <v>0</v>
      </c>
      <c r="C11" s="22" t="n">
        <v>0</v>
      </c>
      <c r="D11" s="23" t="n">
        <v>0.612903225806452</v>
      </c>
      <c r="E11" s="24" t="n">
        <f aca="false">E10*(1+B11)</f>
        <v>1.01991654743044</v>
      </c>
      <c r="F11" s="25" t="n">
        <f aca="false">F10+C11*D11</f>
        <v>0.047778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10" t="s">
        <v>64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10" t="s">
        <v>65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10" t="s">
        <v>66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10" t="s">
        <v>67</v>
      </c>
      <c r="B16" s="2"/>
      <c r="C16" s="2"/>
      <c r="D16" s="2"/>
      <c r="E16" s="2"/>
      <c r="F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1" t="s">
        <v>68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45" hidden="false" customHeight="true" outlineLevel="0" collapsed="false">
      <c r="A3" s="20" t="s">
        <v>51</v>
      </c>
      <c r="B3" s="20" t="s">
        <v>69</v>
      </c>
      <c r="C3" s="20" t="s">
        <v>70</v>
      </c>
      <c r="D3" s="20" t="s">
        <v>71</v>
      </c>
      <c r="E3" s="20" t="s">
        <v>72</v>
      </c>
    </row>
    <row r="4" customFormat="false" ht="15" hidden="false" customHeight="false" outlineLevel="0" collapsed="false">
      <c r="A4" s="17" t="s">
        <v>73</v>
      </c>
      <c r="B4" s="18" t="n">
        <v>200</v>
      </c>
      <c r="C4" s="18" t="n">
        <v>233.45</v>
      </c>
      <c r="D4" s="18" t="n">
        <v>224</v>
      </c>
      <c r="E4" s="18" t="n">
        <v>261.47</v>
      </c>
    </row>
    <row r="5" customFormat="false" ht="15" hidden="false" customHeight="false" outlineLevel="0" collapsed="false">
      <c r="A5" s="17" t="s">
        <v>74</v>
      </c>
      <c r="B5" s="18" t="n">
        <v>200</v>
      </c>
      <c r="C5" s="18" t="n">
        <v>232.5</v>
      </c>
      <c r="D5" s="18" t="n">
        <v>224</v>
      </c>
      <c r="E5" s="18" t="n">
        <v>260.4</v>
      </c>
    </row>
    <row r="6" customFormat="false" ht="15" hidden="false" customHeight="false" outlineLevel="0" collapsed="false">
      <c r="A6" s="17" t="s">
        <v>75</v>
      </c>
      <c r="B6" s="18" t="n">
        <v>200</v>
      </c>
      <c r="C6" s="18" t="n">
        <v>231.07</v>
      </c>
      <c r="D6" s="18" t="n">
        <v>224</v>
      </c>
      <c r="E6" s="18" t="n">
        <v>258.79</v>
      </c>
    </row>
    <row r="7" customFormat="false" ht="15" hidden="false" customHeight="false" outlineLevel="0" collapsed="false">
      <c r="A7" s="17" t="s">
        <v>76</v>
      </c>
      <c r="B7" s="18" t="n">
        <v>200</v>
      </c>
      <c r="C7" s="18" t="n">
        <v>229.85</v>
      </c>
      <c r="D7" s="18" t="n">
        <v>224</v>
      </c>
      <c r="E7" s="18" t="n">
        <v>257.43</v>
      </c>
    </row>
    <row r="8" customFormat="false" ht="15" hidden="false" customHeight="false" outlineLevel="0" collapsed="false">
      <c r="A8" s="17" t="s">
        <v>77</v>
      </c>
      <c r="B8" s="18" t="n">
        <v>200</v>
      </c>
      <c r="C8" s="18" t="n">
        <v>227.93</v>
      </c>
      <c r="D8" s="18" t="n">
        <v>224</v>
      </c>
      <c r="E8" s="18" t="n">
        <v>255.29</v>
      </c>
    </row>
    <row r="9" customFormat="false" ht="15" hidden="false" customHeight="false" outlineLevel="0" collapsed="false">
      <c r="A9" s="17" t="s">
        <v>78</v>
      </c>
      <c r="B9" s="18" t="n">
        <v>200</v>
      </c>
      <c r="C9" s="18" t="n">
        <v>226.33</v>
      </c>
      <c r="D9" s="18" t="n">
        <v>224</v>
      </c>
      <c r="E9" s="18" t="n">
        <v>253.49</v>
      </c>
    </row>
    <row r="10" customFormat="false" ht="15" hidden="false" customHeight="false" outlineLevel="0" collapsed="false">
      <c r="A10" s="17" t="s">
        <v>79</v>
      </c>
      <c r="B10" s="18" t="n">
        <v>200</v>
      </c>
      <c r="C10" s="18" t="n">
        <v>224.95</v>
      </c>
      <c r="D10" s="18" t="n">
        <v>224</v>
      </c>
      <c r="E10" s="18" t="n">
        <v>251.95</v>
      </c>
    </row>
    <row r="11" customFormat="false" ht="15" hidden="false" customHeight="false" outlineLevel="0" collapsed="false">
      <c r="A11" s="17" t="s">
        <v>80</v>
      </c>
      <c r="B11" s="18" t="n">
        <v>200</v>
      </c>
      <c r="C11" s="18" t="n">
        <v>224.44</v>
      </c>
      <c r="D11" s="18" t="n">
        <v>224</v>
      </c>
      <c r="E11" s="18" t="n">
        <v>251.37</v>
      </c>
    </row>
    <row r="12" customFormat="false" ht="15" hidden="false" customHeight="false" outlineLevel="0" collapsed="false">
      <c r="A12" s="17" t="s">
        <v>81</v>
      </c>
      <c r="B12" s="18" t="n">
        <v>200</v>
      </c>
      <c r="C12" s="18" t="n">
        <v>224.62</v>
      </c>
      <c r="D12" s="18" t="n">
        <v>224</v>
      </c>
      <c r="E12" s="18" t="n">
        <v>251.57</v>
      </c>
    </row>
    <row r="13" customFormat="false" ht="15" hidden="false" customHeight="false" outlineLevel="0" collapsed="false">
      <c r="A13" s="17" t="s">
        <v>82</v>
      </c>
      <c r="B13" s="18" t="n">
        <v>200</v>
      </c>
      <c r="C13" s="18" t="n">
        <v>224.35</v>
      </c>
      <c r="D13" s="18" t="n">
        <v>224</v>
      </c>
      <c r="E13" s="18" t="n">
        <v>251.27</v>
      </c>
    </row>
    <row r="14" customFormat="false" ht="15" hidden="false" customHeight="false" outlineLevel="0" collapsed="false">
      <c r="A14" s="17" t="s">
        <v>83</v>
      </c>
      <c r="B14" s="18" t="n">
        <v>200</v>
      </c>
      <c r="C14" s="18" t="n">
        <v>223.83</v>
      </c>
      <c r="D14" s="18" t="n">
        <v>224</v>
      </c>
      <c r="E14" s="18" t="n">
        <v>250.69</v>
      </c>
    </row>
    <row r="15" customFormat="false" ht="15" hidden="false" customHeight="false" outlineLevel="0" collapsed="false">
      <c r="A15" s="17" t="s">
        <v>84</v>
      </c>
      <c r="B15" s="18" t="n">
        <v>200</v>
      </c>
      <c r="C15" s="18" t="n">
        <v>223.25</v>
      </c>
      <c r="D15" s="18" t="n">
        <v>224</v>
      </c>
      <c r="E15" s="18" t="n">
        <v>250.04</v>
      </c>
    </row>
    <row r="16" customFormat="false" ht="15" hidden="false" customHeight="false" outlineLevel="0" collapsed="false">
      <c r="A16" s="17" t="s">
        <v>85</v>
      </c>
      <c r="B16" s="18" t="n">
        <v>200</v>
      </c>
      <c r="C16" s="18" t="n">
        <v>222.72</v>
      </c>
      <c r="D16" s="18" t="n">
        <v>224</v>
      </c>
      <c r="E16" s="18" t="n">
        <v>249.45</v>
      </c>
    </row>
    <row r="17" customFormat="false" ht="15" hidden="false" customHeight="false" outlineLevel="0" collapsed="false">
      <c r="A17" s="17" t="s">
        <v>86</v>
      </c>
      <c r="B17" s="18" t="n">
        <v>200</v>
      </c>
      <c r="C17" s="18" t="n">
        <v>222.1</v>
      </c>
      <c r="D17" s="18" t="n">
        <v>224</v>
      </c>
      <c r="E17" s="18" t="n">
        <v>248.75</v>
      </c>
    </row>
    <row r="18" customFormat="false" ht="15" hidden="false" customHeight="false" outlineLevel="0" collapsed="false">
      <c r="A18" s="17" t="s">
        <v>87</v>
      </c>
      <c r="B18" s="18" t="n">
        <v>200</v>
      </c>
      <c r="C18" s="18" t="n">
        <v>220.86</v>
      </c>
      <c r="D18" s="18" t="n">
        <v>224</v>
      </c>
      <c r="E18" s="18" t="n">
        <v>247.36</v>
      </c>
    </row>
    <row r="19" customFormat="false" ht="15" hidden="false" customHeight="false" outlineLevel="0" collapsed="false">
      <c r="A19" s="17" t="s">
        <v>88</v>
      </c>
      <c r="B19" s="18" t="n">
        <v>200</v>
      </c>
      <c r="C19" s="18" t="n">
        <v>219.94</v>
      </c>
      <c r="D19" s="18" t="n">
        <v>224</v>
      </c>
      <c r="E19" s="18" t="n">
        <v>246.33</v>
      </c>
    </row>
    <row r="20" customFormat="false" ht="15" hidden="false" customHeight="false" outlineLevel="0" collapsed="false">
      <c r="A20" s="17" t="s">
        <v>89</v>
      </c>
      <c r="B20" s="18" t="n">
        <v>200</v>
      </c>
      <c r="C20" s="18" t="n">
        <v>218.13</v>
      </c>
      <c r="D20" s="18" t="n">
        <v>224</v>
      </c>
      <c r="E20" s="18" t="n">
        <v>244.3</v>
      </c>
    </row>
    <row r="21" customFormat="false" ht="15" hidden="false" customHeight="false" outlineLevel="0" collapsed="false">
      <c r="A21" s="17" t="s">
        <v>90</v>
      </c>
      <c r="B21" s="18" t="n">
        <v>200</v>
      </c>
      <c r="C21" s="18" t="n">
        <v>217.78</v>
      </c>
      <c r="D21" s="18" t="n">
        <v>224</v>
      </c>
      <c r="E21" s="18" t="n">
        <v>243.91</v>
      </c>
    </row>
    <row r="22" customFormat="false" ht="15" hidden="false" customHeight="false" outlineLevel="0" collapsed="false">
      <c r="A22" s="17" t="s">
        <v>91</v>
      </c>
      <c r="B22" s="18" t="n">
        <v>200</v>
      </c>
      <c r="C22" s="18" t="n">
        <v>216.95</v>
      </c>
      <c r="D22" s="18" t="n">
        <v>224</v>
      </c>
      <c r="E22" s="18" t="n">
        <v>242.99</v>
      </c>
    </row>
    <row r="23" customFormat="false" ht="15" hidden="false" customHeight="false" outlineLevel="0" collapsed="false">
      <c r="A23" s="17" t="s">
        <v>92</v>
      </c>
      <c r="B23" s="18" t="n">
        <v>200</v>
      </c>
      <c r="C23" s="18" t="n">
        <v>215.96</v>
      </c>
      <c r="D23" s="18" t="n">
        <v>224</v>
      </c>
      <c r="E23" s="18" t="n">
        <v>241.87</v>
      </c>
    </row>
    <row r="24" customFormat="false" ht="15" hidden="false" customHeight="false" outlineLevel="0" collapsed="false">
      <c r="A24" s="17" t="s">
        <v>93</v>
      </c>
      <c r="B24" s="18" t="n">
        <v>200</v>
      </c>
      <c r="C24" s="18" t="n">
        <v>215.51</v>
      </c>
      <c r="D24" s="18" t="n">
        <v>224</v>
      </c>
      <c r="E24" s="18" t="n">
        <v>241.37</v>
      </c>
    </row>
    <row r="25" customFormat="false" ht="15" hidden="false" customHeight="false" outlineLevel="0" collapsed="false">
      <c r="A25" s="17" t="s">
        <v>94</v>
      </c>
      <c r="B25" s="18" t="n">
        <v>200</v>
      </c>
      <c r="C25" s="18" t="n">
        <v>214.69</v>
      </c>
      <c r="D25" s="18" t="n">
        <v>224</v>
      </c>
      <c r="E25" s="18" t="n">
        <v>240.45</v>
      </c>
    </row>
    <row r="26" customFormat="false" ht="15" hidden="false" customHeight="false" outlineLevel="0" collapsed="false">
      <c r="A26" s="17" t="s">
        <v>95</v>
      </c>
      <c r="B26" s="18" t="n">
        <v>200</v>
      </c>
      <c r="C26" s="18" t="n">
        <v>214.73</v>
      </c>
      <c r="D26" s="18" t="n">
        <v>224</v>
      </c>
      <c r="E26" s="18" t="n">
        <v>240.5</v>
      </c>
    </row>
    <row r="27" customFormat="false" ht="15" hidden="false" customHeight="false" outlineLevel="0" collapsed="false">
      <c r="A27" s="17" t="s">
        <v>96</v>
      </c>
      <c r="B27" s="18" t="n">
        <v>200</v>
      </c>
      <c r="C27" s="18" t="n">
        <v>213.79</v>
      </c>
      <c r="D27" s="18" t="n">
        <v>224</v>
      </c>
      <c r="E27" s="18" t="n">
        <v>239.45</v>
      </c>
    </row>
    <row r="28" customFormat="false" ht="15" hidden="false" customHeight="false" outlineLevel="0" collapsed="false">
      <c r="A28" s="17" t="s">
        <v>97</v>
      </c>
      <c r="B28" s="18" t="n">
        <v>200</v>
      </c>
      <c r="C28" s="18" t="n">
        <v>212.6</v>
      </c>
      <c r="D28" s="18" t="n">
        <v>224</v>
      </c>
      <c r="E28" s="18" t="n">
        <v>238.12</v>
      </c>
    </row>
    <row r="29" customFormat="false" ht="15" hidden="false" customHeight="false" outlineLevel="0" collapsed="false">
      <c r="A29" s="17" t="s">
        <v>98</v>
      </c>
      <c r="B29" s="18" t="n">
        <v>200</v>
      </c>
      <c r="C29" s="18" t="n">
        <v>211.78</v>
      </c>
      <c r="D29" s="18" t="n">
        <v>224</v>
      </c>
      <c r="E29" s="18" t="n">
        <v>237.19</v>
      </c>
    </row>
    <row r="30" customFormat="false" ht="15" hidden="false" customHeight="false" outlineLevel="0" collapsed="false">
      <c r="A30" s="17" t="s">
        <v>99</v>
      </c>
      <c r="B30" s="18" t="n">
        <v>200</v>
      </c>
      <c r="C30" s="18" t="n">
        <v>210.68</v>
      </c>
      <c r="D30" s="18" t="n">
        <v>224</v>
      </c>
      <c r="E30" s="18" t="n">
        <v>235.96</v>
      </c>
    </row>
    <row r="31" customFormat="false" ht="15" hidden="false" customHeight="false" outlineLevel="0" collapsed="false">
      <c r="A31" s="17" t="s">
        <v>100</v>
      </c>
      <c r="B31" s="18" t="n">
        <v>200</v>
      </c>
      <c r="C31" s="18" t="n">
        <v>210.34</v>
      </c>
      <c r="D31" s="18" t="n">
        <v>224</v>
      </c>
      <c r="E31" s="18" t="n">
        <v>235.59</v>
      </c>
    </row>
    <row r="32" customFormat="false" ht="15" hidden="false" customHeight="false" outlineLevel="0" collapsed="false">
      <c r="A32" s="17" t="s">
        <v>101</v>
      </c>
      <c r="B32" s="18" t="n">
        <v>200</v>
      </c>
      <c r="C32" s="18" t="n">
        <v>207.62</v>
      </c>
      <c r="D32" s="18" t="n">
        <v>224</v>
      </c>
      <c r="E32" s="18" t="n">
        <v>232.54</v>
      </c>
    </row>
    <row r="33" customFormat="false" ht="15" hidden="false" customHeight="false" outlineLevel="0" collapsed="false">
      <c r="A33" s="17" t="s">
        <v>102</v>
      </c>
      <c r="B33" s="26"/>
      <c r="C33" s="26"/>
      <c r="D33" s="18" t="n">
        <v>224</v>
      </c>
      <c r="E33" s="18" t="n">
        <v>231.25</v>
      </c>
    </row>
    <row r="34" customFormat="false" ht="15" hidden="false" customHeight="false" outlineLevel="0" collapsed="false">
      <c r="A34" s="17" t="s">
        <v>103</v>
      </c>
      <c r="B34" s="26"/>
      <c r="C34" s="26"/>
      <c r="D34" s="18" t="n">
        <v>224</v>
      </c>
      <c r="E34" s="18" t="n">
        <v>230.25</v>
      </c>
    </row>
    <row r="35" customFormat="false" ht="15" hidden="false" customHeight="false" outlineLevel="0" collapsed="false">
      <c r="A35" s="12" t="s">
        <v>104</v>
      </c>
      <c r="B35" s="27" t="n">
        <f aca="false">SUM(B4:B34)</f>
        <v>5800</v>
      </c>
      <c r="C35" s="27" t="n">
        <f aca="false">SUM(C4:C34)</f>
        <v>6392.75</v>
      </c>
      <c r="D35" s="27" t="n">
        <f aca="false">SUM(D4:D34)</f>
        <v>6944</v>
      </c>
      <c r="E35" s="27" t="n">
        <f aca="false">SUM(E4:E34)</f>
        <v>7621.39</v>
      </c>
    </row>
    <row r="36" customFormat="false" ht="15" hidden="false" customHeight="false" outlineLevel="0" collapsed="false">
      <c r="A36" s="2"/>
      <c r="B36" s="2"/>
      <c r="C36" s="2"/>
      <c r="D36" s="2"/>
      <c r="E36" s="2"/>
    </row>
    <row r="37" customFormat="false" ht="15" hidden="false" customHeight="false" outlineLevel="0" collapsed="false">
      <c r="A37" s="2" t="s">
        <v>105</v>
      </c>
      <c r="B37" s="11" t="n">
        <f aca="false">C35+E35</f>
        <v>14014.14</v>
      </c>
      <c r="C37" s="2"/>
      <c r="D37" s="2"/>
      <c r="E37" s="2"/>
    </row>
    <row r="38" customFormat="false" ht="15" hidden="false" customHeight="false" outlineLevel="0" collapsed="false">
      <c r="A38" s="2" t="s">
        <v>106</v>
      </c>
      <c r="B38" s="28" t="n">
        <v>15935</v>
      </c>
      <c r="C38" s="2"/>
      <c r="D38" s="2"/>
      <c r="E38" s="2"/>
    </row>
    <row r="39" customFormat="false" ht="15" hidden="false" customHeight="false" outlineLevel="0" collapsed="false">
      <c r="A39" s="2" t="s">
        <v>107</v>
      </c>
      <c r="B39" s="11" t="n">
        <f aca="false">B38-B37</f>
        <v>1920.86</v>
      </c>
      <c r="C39" s="2"/>
      <c r="D39" s="2"/>
      <c r="E39" s="2"/>
    </row>
    <row r="40" customFormat="false" ht="15" hidden="false" customHeight="false" outlineLevel="0" collapsed="false">
      <c r="A40" s="2" t="s">
        <v>108</v>
      </c>
      <c r="B40" s="11" t="n">
        <f aca="false">2*B38</f>
        <v>31870</v>
      </c>
      <c r="C40" s="2"/>
      <c r="D40" s="2"/>
      <c r="E40" s="2"/>
    </row>
    <row r="41" customFormat="false" ht="15" hidden="false" customHeight="false" outlineLevel="0" collapsed="false">
      <c r="A41" s="2" t="s">
        <v>109</v>
      </c>
      <c r="B41" s="11" t="n">
        <f aca="false">ROUND(B40*10%,2)</f>
        <v>3187</v>
      </c>
      <c r="C41" s="2"/>
      <c r="D41" s="2"/>
      <c r="E41" s="2"/>
    </row>
    <row r="42" customFormat="false" ht="15" hidden="false" customHeight="false" outlineLevel="0" collapsed="false">
      <c r="A42" s="12" t="s">
        <v>110</v>
      </c>
      <c r="B42" s="15" t="n">
        <f aca="false">B40+B41</f>
        <v>35057</v>
      </c>
      <c r="C42" s="2"/>
      <c r="D42" s="2"/>
      <c r="E42" s="2"/>
    </row>
    <row r="43" customFormat="false" ht="15" hidden="false" customHeight="false" outlineLevel="0" collapsed="false">
      <c r="A43" s="2"/>
      <c r="B43" s="2"/>
      <c r="C43" s="2"/>
      <c r="D43" s="2"/>
      <c r="E43" s="2"/>
    </row>
    <row r="44" customFormat="false" ht="15" hidden="false" customHeight="false" outlineLevel="0" collapsed="false">
      <c r="A44" s="10" t="s">
        <v>111</v>
      </c>
      <c r="B44" s="2"/>
      <c r="C44" s="2"/>
      <c r="D44" s="2"/>
      <c r="E44" s="2"/>
    </row>
    <row r="45" customFormat="false" ht="15" hidden="false" customHeight="false" outlineLevel="0" collapsed="false">
      <c r="A45" s="10" t="s">
        <v>112</v>
      </c>
      <c r="B45" s="2"/>
      <c r="C45" s="2"/>
      <c r="D45" s="2"/>
      <c r="E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2026-10-19T10:39:06Z</dcterms:created>
  <dc:creator>openpyxl</dc:creator>
  <dc:description/>
  <dc:language>en-US</dc:language>
  <cp:lastModifiedBy/>
  <dcterms:modified xsi:type="dcterms:W3CDTF">2026-10-19T10:39:06Z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