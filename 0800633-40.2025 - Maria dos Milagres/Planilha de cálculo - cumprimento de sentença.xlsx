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  <sheet name="Pagamentos posterio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<sst xmlns="http://schemas.openxmlformats.org/spreadsheetml/2006/main" count="106" uniqueCount="80">
  <si>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</si>
  <si>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</si>
  <si>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</si>
  <si>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</si>
  <si>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</si>
  <si>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</si>
  <si>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</si>
  <si>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</si>
  <si>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</si>
  <si>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</si>
  <si>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</si>
  <si>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</si>
  <si>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</si>
  <si>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</si>
  <si>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</si>
  <si>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</si>
  <si>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</si>
  <si>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</si>
  <si>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</si>
  <si>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</si>
  <si>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</si>
  <si>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</si>
  <si>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</si>
  <si>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</si>
  <si>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</si>
  <si>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Parcelas pagas após o ajuizamento (out/2025 a jan/2026 – 3 contratos × R$ 125,00) – detalhamento na aba "Pagamentos posteriores"</t>
  </si>
  <si>
    <t xml:space="preserve">Sentença, item I (restituição integral do efetivamente pago); art. 323 do CPC</t>
  </si>
  <si>
    <t xml:space="preserve">3</t>
  </si>
  <si>
    <t xml:space="preserve">Indenização por danos morais</t>
  </si>
  <si>
    <t xml:space="preserve">Sentença, item II – SELIC desde o arbitramento (30/07/2026)</t>
  </si>
  <si>
    <t xml:space="preserve">4</t>
  </si>
  <si>
    <t xml:space="preserve">Subtotal da condenação (1 + 2 + 3)</t>
  </si>
  <si>
    <t xml:space="preserve">5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</si>
  <si>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</si>
  <si>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</si>
  <si>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</si>
  <si>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</si>
  <si>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</si>
  <si>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</si>
  <si>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6</t>
  </si>
  <si>
    <t xml:space="preserve">Multa</t>
  </si>
  <si>
    <t xml:space="preserve">Art. 523, § 1º, CPC</t>
  </si>
  <si>
    <t xml:space="preserve">7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</si>
  <si>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</si>
  <si>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</si>
  <si>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</si>
  <si>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</si>
  <si>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</si>
  <si>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</si>
  <si>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</si>
  <si>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</si>
  <si>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Item 2: parcelas de R$ 125,00 por contrato pagas de out/2025 a jan/2026 (após o ajuizamento), não abrangidas pelo valor fixado na decisão ED; restituição devida por integrar o "valor efetivamente pago" (sentença, item I) e por força do art. 323 do CPC.</t>
  </si>
  <si>
    <t xml:space="preserve">7. Taxas SELIC conforme tabela da AASP/CFC (série BCB 4390). Out/2026 (amarelo) é estimativa: repete a taxa de set/2026, proporcional até 30/10/2026.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</si>
  <si>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</si>
  <si>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Fonte: AASP/CFC (série BCB 4390). Célula amarela: estimativa.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</si>
  <si>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</si>
  <si>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</si>
  <si>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</si>
  <si>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</si>
  <si>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</si>
  <si>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</si>
  <si>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Aux.: início</t>
  </si>
  <si>
    <t xml:space="preserve">Aux.: fim</t>
  </si>
  <si>
    <t xml:space="preserve">Aux.: dias</t>
  </si>
  <si>
    <t xml:space="preserve">AASP/CFC</t>
  </si>
  <si>
    <t xml:space="preserve">Estimativa</t>
  </si>
  <si>
    <t xml:space="preserve">Out/2026 ainda não divulgado – repetida a taxa de set/2026</t>
  </si>
  <si>
    <t xml:space="preserve">Fator acumulado</t>
  </si>
  <si>
    <t xml:space="preserve">Variação (%)</t>
  </si>
  <si>
    <t xml:space="preserve">PARCELAS PAGAS APÓS O AJUIZAMENTO (26/09/2025) – OUT/2025 A JAN/2026</t>
  </si>
  <si>
    <t xml:space="preserve">Parcelas de R$ 125,00 por contrato, com vencimento no dia 15. Termo inicial da SELIC: a data do pagamento ou a citação (17/11/2025), o que for posterior.</t>
  </si>
  <si>
    <t xml:space="preserve">Competência</t>
  </si>
  <si>
    <t xml:space="preserve">Contrato</t>
  </si>
  <si>
    <t xml:space="preserve">Data do pagamento</t>
  </si>
  <si>
    <t xml:space="preserve">Valor pago</t>
  </si>
  <si>
    <t xml:space="preserve">Termo inicial SELIC</t>
  </si>
  <si>
    <t xml:space="preserve">522</t>
  </si>
  <si>
    <t xml:space="preserve">523</t>
  </si>
  <si>
    <t xml:space="preserve">524</t>
  </si>
  <si>
    <t xml:space="preserve">TOTAL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</si>
</sst>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"/>
    <numFmt numFmtId="173" formatCode="0.0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  <font>
      <sz val="8"/>
      <color rgb="FF888888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1.13530961958417</v>
      </c>
      <c r="E19" s="7" t="n">
        <f aca="false">ROUND(C19*D19,2)</f>
        <v>37746.1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f aca="false">'Pagamentos posteriores'!D17</f>
        <v>1500</v>
      </c>
      <c r="D20" s="8" t="n">
        <f aca="false">E20/C20</f>
        <v>1.12612</v>
      </c>
      <c r="E20" s="7" t="n">
        <f aca="false">'Pagamentos posteriores'!G17</f>
        <v>1689.18</v>
      </c>
      <c r="F20" s="9" t="s">
        <v>26</v>
      </c>
    </row>
    <row r="21" customFormat="false" ht="45" hidden="false" customHeight="true" outlineLevel="0" collapsed="false">
      <c r="A21" s="6" t="s">
        <v>27</v>
      </c>
      <c r="B21" s="4" t="s">
        <v>28</v>
      </c>
      <c r="C21" s="7" t="n">
        <v>2000</v>
      </c>
      <c r="D21" s="8" t="n">
        <f aca="false">SELIC!$D$20</f>
        <v>1.03290370093909</v>
      </c>
      <c r="E21" s="7" t="n">
        <f aca="false">ROUND(C21*D21,2)</f>
        <v>2065.81</v>
      </c>
      <c r="F21" s="9" t="s">
        <v>29</v>
      </c>
    </row>
    <row r="22" customFormat="false" ht="15" hidden="false" customHeight="false" outlineLevel="0" collapsed="false">
      <c r="A22" s="6" t="s">
        <v>30</v>
      </c>
      <c r="B22" s="3" t="s">
        <v>31</v>
      </c>
      <c r="C22" s="10" t="n">
        <f aca="false">SUM(C19:C21)</f>
        <v>36747.41</v>
      </c>
      <c r="D22" s="11"/>
      <c r="E22" s="12" t="n">
        <f aca="false">SUM(E19:E21)</f>
        <v>41501.09</v>
      </c>
      <c r="F22" s="11"/>
    </row>
    <row r="23" customFormat="false" ht="30" hidden="false" customHeight="true" outlineLevel="0" collapsed="false">
      <c r="A23" s="6" t="s">
        <v>32</v>
      </c>
      <c r="B23" s="4" t="s">
        <v>33</v>
      </c>
      <c r="C23" s="13" t="n">
        <v>0.1</v>
      </c>
      <c r="D23" s="6"/>
      <c r="E23" s="7" t="n">
        <f aca="false">ROUND(E22*C23,2)</f>
        <v>4150.11</v>
      </c>
      <c r="F23" s="9" t="s">
        <v>34</v>
      </c>
    </row>
    <row r="24" customFormat="false" ht="30" hidden="false" customHeight="true" outlineLevel="0" collapsed="false">
      <c r="A24" s="14"/>
      <c r="B24" s="15" t="s">
        <v>35</v>
      </c>
      <c r="C24" s="14"/>
      <c r="D24" s="14"/>
      <c r="E24" s="16" t="n">
        <f aca="false">E22+E23</f>
        <v>45651.2</v>
      </c>
      <c r="F24" s="14"/>
    </row>
    <row r="26" customFormat="false" ht="30" hidden="false" customHeight="true" outlineLevel="0" collapsed="false">
      <c r="A26" s="2"/>
      <c r="B26" s="2" t="s">
        <v>36</v>
      </c>
      <c r="C26" s="2"/>
      <c r="D26" s="2" t="s">
        <v>37</v>
      </c>
      <c r="E26" s="2" t="s">
        <v>38</v>
      </c>
      <c r="F26" s="2" t="s">
        <v>20</v>
      </c>
    </row>
    <row r="27" customFormat="false" ht="15" hidden="false" customHeight="true" outlineLevel="0" collapsed="false">
      <c r="A27" s="6" t="s">
        <v>39</v>
      </c>
      <c r="B27" s="4" t="s">
        <v>40</v>
      </c>
      <c r="C27" s="4"/>
      <c r="D27" s="13" t="n">
        <v>0.1</v>
      </c>
      <c r="E27" s="7" t="n">
        <f aca="false">ROUND($E$24*D27,2)</f>
        <v>4565.12</v>
      </c>
      <c r="F27" s="9" t="s">
        <v>41</v>
      </c>
    </row>
    <row r="28" customFormat="false" ht="15" hidden="false" customHeight="true" outlineLevel="0" collapsed="false">
      <c r="A28" s="6" t="s">
        <v>42</v>
      </c>
      <c r="B28" s="4" t="s">
        <v>43</v>
      </c>
      <c r="C28" s="4"/>
      <c r="D28" s="13" t="n">
        <v>0.1</v>
      </c>
      <c r="E28" s="7" t="n">
        <f aca="false">ROUND($E$24*D28,2)</f>
        <v>4565.12</v>
      </c>
      <c r="F28" s="9" t="s">
        <v>41</v>
      </c>
    </row>
    <row r="29" customFormat="false" ht="30" hidden="false" customHeight="true" outlineLevel="0" collapsed="false">
      <c r="A29" s="14"/>
      <c r="B29" s="17" t="s">
        <v>44</v>
      </c>
      <c r="C29" s="17"/>
      <c r="D29" s="17"/>
      <c r="E29" s="16" t="n">
        <f aca="false">E24+E27+E28</f>
        <v>54781.44</v>
      </c>
      <c r="F29" s="14"/>
    </row>
    <row r="31" customFormat="false" ht="15" hidden="false" customHeight="true" outlineLevel="0" collapsed="false">
      <c r="A31" s="18" t="s">
        <v>45</v>
      </c>
      <c r="B31" s="18"/>
      <c r="C31" s="18"/>
      <c r="D31" s="18"/>
      <c r="E31" s="18"/>
      <c r="F31" s="18"/>
    </row>
    <row r="32" customFormat="false" ht="30" hidden="false" customHeight="true" outlineLevel="0" collapsed="false">
      <c r="A32" s="9" t="s">
        <v>46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47</v>
      </c>
      <c r="B33" s="9"/>
      <c r="C33" s="9"/>
      <c r="D33" s="9"/>
      <c r="E33" s="9"/>
      <c r="F33" s="9"/>
    </row>
    <row r="34" customFormat="false" ht="30" hidden="false" customHeight="true" outlineLevel="0" collapsed="false">
      <c r="A34" s="9" t="s">
        <v>48</v>
      </c>
      <c r="B34" s="9"/>
      <c r="C34" s="9"/>
      <c r="D34" s="9"/>
      <c r="E34" s="9"/>
      <c r="F34" s="9"/>
    </row>
    <row r="35" customFormat="false" ht="30" hidden="false" customHeight="true" outlineLevel="0" collapsed="false">
      <c r="A35" s="9" t="s">
        <v>49</v>
      </c>
      <c r="B35" s="9"/>
      <c r="C35" s="9"/>
      <c r="D35" s="9"/>
      <c r="E35" s="9"/>
      <c r="F35" s="9"/>
    </row>
    <row r="36" customFormat="false" ht="30" hidden="false" customHeight="true" outlineLevel="0" collapsed="false">
      <c r="A36" s="9" t="s">
        <v>50</v>
      </c>
      <c r="B36" s="9"/>
      <c r="C36" s="9"/>
      <c r="D36" s="9"/>
      <c r="E36" s="9"/>
      <c r="F36" s="9"/>
    </row>
    <row r="37" customFormat="false" ht="30" hidden="false" customHeight="true" outlineLevel="0" collapsed="false">
      <c r="A37" s="9" t="s">
        <v>51</v>
      </c>
      <c r="B37" s="9"/>
      <c r="C37" s="9"/>
      <c r="D37" s="9"/>
      <c r="E37" s="9"/>
      <c r="F37" s="9"/>
    </row>
    <row r="38" customFormat="false" ht="30" hidden="false" customHeight="true" outlineLevel="0" collapsed="false">
      <c r="A38" s="9" t="s">
        <v>52</v>
      </c>
      <c r="B38" s="9"/>
      <c r="C38" s="9"/>
      <c r="D38" s="9"/>
      <c r="E38" s="9"/>
      <c r="F38" s="9"/>
    </row>
  </sheetData>
  <mergeCells count="22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6:C26"/>
    <mergeCell ref="B27:C27"/>
    <mergeCell ref="B28:C28"/>
    <mergeCell ref="B29:D29"/>
    <mergeCell ref="A31:F31"/>
    <mergeCell ref="A32:F32"/>
    <mergeCell ref="A33:F33"/>
    <mergeCell ref="A34:F34"/>
    <mergeCell ref="A35:F35"/>
    <mergeCell ref="A36:F36"/>
    <mergeCell ref="A37:F37"/>
    <mergeCell ref="A38:F38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  <col collapsed="false" customWidth="true" hidden="false" outlineLevel="0" max="8" min="7" style="0" width="11"/>
    <col collapsed="false" customWidth="true" hidden="false" outlineLevel="0" max="9" min="9" style="0" width="8"/>
  </cols>
  <sheetData>
    <row r="1" customFormat="false" ht="16.4" hidden="false" customHeight="true" outlineLevel="0" collapsed="false">
      <c r="A1" s="19" t="s">
        <v>53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0" t="s">
        <v>54</v>
      </c>
      <c r="B2" s="20"/>
      <c r="C2" s="20"/>
      <c r="D2" s="20"/>
      <c r="E2" s="20"/>
      <c r="F2" s="20"/>
    </row>
    <row r="4" customFormat="false" ht="42" hidden="false" customHeight="true" outlineLevel="0" collapsed="false">
      <c r="A4" s="2" t="s">
        <v>55</v>
      </c>
      <c r="B4" s="2" t="s">
        <v>56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61</v>
      </c>
      <c r="H4" s="2" t="s">
        <v>62</v>
      </c>
      <c r="I4" s="2" t="s">
        <v>63</v>
      </c>
    </row>
    <row r="5" customFormat="false" ht="15" hidden="false" customHeight="false" outlineLevel="0" collapsed="false">
      <c r="A5" s="21" t="n">
        <v>45901</v>
      </c>
      <c r="B5" s="22" t="n">
        <v>0.0122</v>
      </c>
      <c r="C5" s="23" t="n">
        <f aca="false">MAX(0,MIN(EOMONTH(A5,0),Resumo!$C$12)-MAX(A5-1,Resumo!$C$10))/DAY(EOMONTH(A5,0))</f>
        <v>0</v>
      </c>
      <c r="D5" s="23" t="n">
        <f aca="false">MAX(0,MIN(EOMONTH(A5,0),Resumo!$C$12)-MAX(A5-1,Resumo!$C$11))/DAY(EOMONTH(A5,0))</f>
        <v>0</v>
      </c>
      <c r="E5" s="6" t="s">
        <v>64</v>
      </c>
      <c r="F5" s="9"/>
      <c r="G5" s="24" t="n">
        <f aca="false">A5-1</f>
        <v>45900</v>
      </c>
      <c r="H5" s="24" t="n">
        <f aca="false">EOMONTH(A5,0)</f>
        <v>45930</v>
      </c>
      <c r="I5" s="25" t="n">
        <f aca="false">DAY(H5)</f>
        <v>30</v>
      </c>
    </row>
    <row r="6" customFormat="false" ht="15" hidden="false" customHeight="false" outlineLevel="0" collapsed="false">
      <c r="A6" s="21" t="n">
        <v>45931</v>
      </c>
      <c r="B6" s="22" t="n">
        <v>0.0128</v>
      </c>
      <c r="C6" s="23" t="n">
        <f aca="false">MAX(0,MIN(EOMONTH(A6,0),Resumo!$C$12)-MAX(A6-1,Resumo!$C$10))/DAY(EOMONTH(A6,0))</f>
        <v>0</v>
      </c>
      <c r="D6" s="23" t="n">
        <f aca="false">MAX(0,MIN(EOMONTH(A6,0),Resumo!$C$12)-MAX(A6-1,Resumo!$C$11))/DAY(EOMONTH(A6,0))</f>
        <v>0</v>
      </c>
      <c r="E6" s="6" t="s">
        <v>64</v>
      </c>
      <c r="F6" s="9"/>
      <c r="G6" s="24" t="n">
        <f aca="false">A6-1</f>
        <v>45930</v>
      </c>
      <c r="H6" s="24" t="n">
        <f aca="false">EOMONTH(A6,0)</f>
        <v>45961</v>
      </c>
      <c r="I6" s="25" t="n">
        <f aca="false">DAY(H6)</f>
        <v>31</v>
      </c>
    </row>
    <row r="7" customFormat="false" ht="15" hidden="false" customHeight="false" outlineLevel="0" collapsed="false">
      <c r="A7" s="21" t="n">
        <v>45962</v>
      </c>
      <c r="B7" s="22" t="n">
        <v>0.0105</v>
      </c>
      <c r="C7" s="23" t="n">
        <f aca="false">MAX(0,MIN(EOMONTH(A7,0),Resumo!$C$12)-MAX(A7-1,Resumo!$C$10))/DAY(EOMONTH(A7,0))</f>
        <v>0.433333333333333</v>
      </c>
      <c r="D7" s="23" t="n">
        <f aca="false">MAX(0,MIN(EOMONTH(A7,0),Resumo!$C$12)-MAX(A7-1,Resumo!$C$11))/DAY(EOMONTH(A7,0))</f>
        <v>0</v>
      </c>
      <c r="E7" s="6" t="s">
        <v>64</v>
      </c>
      <c r="F7" s="9"/>
      <c r="G7" s="24" t="n">
        <f aca="false">A7-1</f>
        <v>45961</v>
      </c>
      <c r="H7" s="24" t="n">
        <f aca="false">EOMONTH(A7,0)</f>
        <v>45991</v>
      </c>
      <c r="I7" s="25" t="n">
        <f aca="false">DAY(H7)</f>
        <v>30</v>
      </c>
    </row>
    <row r="8" customFormat="false" ht="15" hidden="false" customHeight="false" outlineLevel="0" collapsed="false">
      <c r="A8" s="21" t="n">
        <v>45992</v>
      </c>
      <c r="B8" s="22" t="n">
        <v>0.0122</v>
      </c>
      <c r="C8" s="23" t="n">
        <f aca="false">MAX(0,MIN(EOMONTH(A8,0),Resumo!$C$12)-MAX(A8-1,Resumo!$C$10))/DAY(EOMONTH(A8,0))</f>
        <v>1</v>
      </c>
      <c r="D8" s="23" t="n">
        <f aca="false">MAX(0,MIN(EOMONTH(A8,0),Resumo!$C$12)-MAX(A8-1,Resumo!$C$11))/DAY(EOMONTH(A8,0))</f>
        <v>0</v>
      </c>
      <c r="E8" s="6" t="s">
        <v>64</v>
      </c>
      <c r="F8" s="9"/>
      <c r="G8" s="24" t="n">
        <f aca="false">A8-1</f>
        <v>45991</v>
      </c>
      <c r="H8" s="24" t="n">
        <f aca="false">EOMONTH(A8,0)</f>
        <v>46022</v>
      </c>
      <c r="I8" s="25" t="n">
        <f aca="false">DAY(H8)</f>
        <v>31</v>
      </c>
    </row>
    <row r="9" customFormat="false" ht="15" hidden="false" customHeight="false" outlineLevel="0" collapsed="false">
      <c r="A9" s="21" t="n">
        <v>46023</v>
      </c>
      <c r="B9" s="22" t="n">
        <v>0.0116</v>
      </c>
      <c r="C9" s="23" t="n">
        <f aca="false">MAX(0,MIN(EOMONTH(A9,0),Resumo!$C$12)-MAX(A9-1,Resumo!$C$10))/DAY(EOMONTH(A9,0))</f>
        <v>1</v>
      </c>
      <c r="D9" s="23" t="n">
        <f aca="false">MAX(0,MIN(EOMONTH(A9,0),Resumo!$C$12)-MAX(A9-1,Resumo!$C$11))/DAY(EOMONTH(A9,0))</f>
        <v>0</v>
      </c>
      <c r="E9" s="6" t="s">
        <v>64</v>
      </c>
      <c r="F9" s="9"/>
      <c r="G9" s="24" t="n">
        <f aca="false">A9-1</f>
        <v>46022</v>
      </c>
      <c r="H9" s="24" t="n">
        <f aca="false">EOMONTH(A9,0)</f>
        <v>46053</v>
      </c>
      <c r="I9" s="25" t="n">
        <f aca="false">DAY(H9)</f>
        <v>31</v>
      </c>
    </row>
    <row r="10" customFormat="false" ht="15" hidden="false" customHeight="false" outlineLevel="0" collapsed="false">
      <c r="A10" s="21" t="n">
        <v>46054</v>
      </c>
      <c r="B10" s="22" t="n">
        <v>0.01</v>
      </c>
      <c r="C10" s="23" t="n">
        <f aca="false">MAX(0,MIN(EOMONTH(A10,0),Resumo!$C$12)-MAX(A10-1,Resumo!$C$10))/DAY(EOMONTH(A10,0))</f>
        <v>1</v>
      </c>
      <c r="D10" s="23" t="n">
        <f aca="false">MAX(0,MIN(EOMONTH(A10,0),Resumo!$C$12)-MAX(A10-1,Resumo!$C$11))/DAY(EOMONTH(A10,0))</f>
        <v>0</v>
      </c>
      <c r="E10" s="6" t="s">
        <v>64</v>
      </c>
      <c r="F10" s="9"/>
      <c r="G10" s="24" t="n">
        <f aca="false">A10-1</f>
        <v>46053</v>
      </c>
      <c r="H10" s="24" t="n">
        <f aca="false">EOMONTH(A10,0)</f>
        <v>46081</v>
      </c>
      <c r="I10" s="25" t="n">
        <f aca="false">DAY(H10)</f>
        <v>28</v>
      </c>
    </row>
    <row r="11" customFormat="false" ht="15" hidden="false" customHeight="false" outlineLevel="0" collapsed="false">
      <c r="A11" s="21" t="n">
        <v>46082</v>
      </c>
      <c r="B11" s="22" t="n">
        <v>0.0121</v>
      </c>
      <c r="C11" s="23" t="n">
        <f aca="false">MAX(0,MIN(EOMONTH(A11,0),Resumo!$C$12)-MAX(A11-1,Resumo!$C$10))/DAY(EOMONTH(A11,0))</f>
        <v>1</v>
      </c>
      <c r="D11" s="23" t="n">
        <f aca="false">MAX(0,MIN(EOMONTH(A11,0),Resumo!$C$12)-MAX(A11-1,Resumo!$C$11))/DAY(EOMONTH(A11,0))</f>
        <v>0</v>
      </c>
      <c r="E11" s="6" t="s">
        <v>64</v>
      </c>
      <c r="F11" s="9"/>
      <c r="G11" s="24" t="n">
        <f aca="false">A11-1</f>
        <v>46081</v>
      </c>
      <c r="H11" s="24" t="n">
        <f aca="false">EOMONTH(A11,0)</f>
        <v>46112</v>
      </c>
      <c r="I11" s="25" t="n">
        <f aca="false">DAY(H11)</f>
        <v>31</v>
      </c>
    </row>
    <row r="12" customFormat="false" ht="15" hidden="false" customHeight="false" outlineLevel="0" collapsed="false">
      <c r="A12" s="21" t="n">
        <v>46113</v>
      </c>
      <c r="B12" s="22" t="n">
        <v>0.0109</v>
      </c>
      <c r="C12" s="23" t="n">
        <f aca="false">MAX(0,MIN(EOMONTH(A12,0),Resumo!$C$12)-MAX(A12-1,Resumo!$C$10))/DAY(EOMONTH(A12,0))</f>
        <v>1</v>
      </c>
      <c r="D12" s="23" t="n">
        <f aca="false">MAX(0,MIN(EOMONTH(A12,0),Resumo!$C$12)-MAX(A12-1,Resumo!$C$11))/DAY(EOMONTH(A12,0))</f>
        <v>0</v>
      </c>
      <c r="E12" s="6" t="s">
        <v>64</v>
      </c>
      <c r="F12" s="9"/>
      <c r="G12" s="24" t="n">
        <f aca="false">A12-1</f>
        <v>46112</v>
      </c>
      <c r="H12" s="24" t="n">
        <f aca="false">EOMONTH(A12,0)</f>
        <v>46142</v>
      </c>
      <c r="I12" s="25" t="n">
        <f aca="false">DAY(H12)</f>
        <v>30</v>
      </c>
    </row>
    <row r="13" customFormat="false" ht="15" hidden="false" customHeight="false" outlineLevel="0" collapsed="false">
      <c r="A13" s="21" t="n">
        <v>46143</v>
      </c>
      <c r="B13" s="22" t="n">
        <v>0.0107</v>
      </c>
      <c r="C13" s="23" t="n">
        <f aca="false">MAX(0,MIN(EOMONTH(A13,0),Resumo!$C$12)-MAX(A13-1,Resumo!$C$10))/DAY(EOMONTH(A13,0))</f>
        <v>1</v>
      </c>
      <c r="D13" s="23" t="n">
        <f aca="false">MAX(0,MIN(EOMONTH(A13,0),Resumo!$C$12)-MAX(A13-1,Resumo!$C$11))/DAY(EOMONTH(A13,0))</f>
        <v>0</v>
      </c>
      <c r="E13" s="6" t="s">
        <v>64</v>
      </c>
      <c r="F13" s="9"/>
      <c r="G13" s="24" t="n">
        <f aca="false">A13-1</f>
        <v>46142</v>
      </c>
      <c r="H13" s="24" t="n">
        <f aca="false">EOMONTH(A13,0)</f>
        <v>46173</v>
      </c>
      <c r="I13" s="25" t="n">
        <f aca="false">DAY(H13)</f>
        <v>31</v>
      </c>
    </row>
    <row r="14" customFormat="false" ht="15" hidden="false" customHeight="false" outlineLevel="0" collapsed="false">
      <c r="A14" s="21" t="n">
        <v>46174</v>
      </c>
      <c r="B14" s="22" t="n">
        <v>0.0112</v>
      </c>
      <c r="C14" s="23" t="n">
        <f aca="false">MAX(0,MIN(EOMONTH(A14,0),Resumo!$C$12)-MAX(A14-1,Resumo!$C$10))/DAY(EOMONTH(A14,0))</f>
        <v>1</v>
      </c>
      <c r="D14" s="23" t="n">
        <f aca="false">MAX(0,MIN(EOMONTH(A14,0),Resumo!$C$12)-MAX(A14-1,Resumo!$C$11))/DAY(EOMONTH(A14,0))</f>
        <v>0</v>
      </c>
      <c r="E14" s="6" t="s">
        <v>64</v>
      </c>
      <c r="F14" s="9"/>
      <c r="G14" s="24" t="n">
        <f aca="false">A14-1</f>
        <v>46173</v>
      </c>
      <c r="H14" s="24" t="n">
        <f aca="false">EOMONTH(A14,0)</f>
        <v>46203</v>
      </c>
      <c r="I14" s="25" t="n">
        <f aca="false">DAY(H14)</f>
        <v>30</v>
      </c>
    </row>
    <row r="15" customFormat="false" ht="15" hidden="false" customHeight="false" outlineLevel="0" collapsed="false">
      <c r="A15" s="21" t="n">
        <v>46204</v>
      </c>
      <c r="B15" s="22" t="n">
        <v>0.0122</v>
      </c>
      <c r="C15" s="23" t="n">
        <f aca="false">MAX(0,MIN(EOMONTH(A15,0),Resumo!$C$12)-MAX(A15-1,Resumo!$C$10))/DAY(EOMONTH(A15,0))</f>
        <v>1</v>
      </c>
      <c r="D15" s="23" t="n">
        <f aca="false">MAX(0,MIN(EOMONTH(A15,0),Resumo!$C$12)-MAX(A15-1,Resumo!$C$11))/DAY(EOMONTH(A15,0))</f>
        <v>0.032258064516129</v>
      </c>
      <c r="E15" s="6" t="s">
        <v>64</v>
      </c>
      <c r="F15" s="9"/>
      <c r="G15" s="24" t="n">
        <f aca="false">A15-1</f>
        <v>46203</v>
      </c>
      <c r="H15" s="24" t="n">
        <f aca="false">EOMONTH(A15,0)</f>
        <v>46234</v>
      </c>
      <c r="I15" s="25" t="n">
        <f aca="false">DAY(H15)</f>
        <v>31</v>
      </c>
    </row>
    <row r="16" customFormat="false" ht="15" hidden="false" customHeight="false" outlineLevel="0" collapsed="false">
      <c r="A16" s="21" t="n">
        <v>46235</v>
      </c>
      <c r="B16" s="22" t="n">
        <v>0.0109</v>
      </c>
      <c r="C16" s="23" t="n">
        <f aca="false">MAX(0,MIN(EOMONTH(A16,0),Resumo!$C$12)-MAX(A16-1,Resumo!$C$10))/DAY(EOMONTH(A16,0))</f>
        <v>1</v>
      </c>
      <c r="D16" s="23" t="n">
        <f aca="false">MAX(0,MIN(EOMONTH(A16,0),Resumo!$C$12)-MAX(A16-1,Resumo!$C$11))/DAY(EOMONTH(A16,0))</f>
        <v>1</v>
      </c>
      <c r="E16" s="6" t="s">
        <v>64</v>
      </c>
      <c r="F16" s="9"/>
      <c r="G16" s="24" t="n">
        <f aca="false">A16-1</f>
        <v>46234</v>
      </c>
      <c r="H16" s="24" t="n">
        <f aca="false">EOMONTH(A16,0)</f>
        <v>46265</v>
      </c>
      <c r="I16" s="25" t="n">
        <f aca="false">DAY(H16)</f>
        <v>31</v>
      </c>
    </row>
    <row r="17" customFormat="false" ht="15" hidden="false" customHeight="false" outlineLevel="0" collapsed="false">
      <c r="A17" s="21" t="n">
        <v>46266</v>
      </c>
      <c r="B17" s="22" t="n">
        <v>0.0108</v>
      </c>
      <c r="C17" s="23" t="n">
        <f aca="false">MAX(0,MIN(EOMONTH(A17,0),Resumo!$C$12)-MAX(A17-1,Resumo!$C$10))/DAY(EOMONTH(A17,0))</f>
        <v>1</v>
      </c>
      <c r="D17" s="23" t="n">
        <f aca="false">MAX(0,MIN(EOMONTH(A17,0),Resumo!$C$12)-MAX(A17-1,Resumo!$C$11))/DAY(EOMONTH(A17,0))</f>
        <v>1</v>
      </c>
      <c r="E17" s="6" t="s">
        <v>64</v>
      </c>
      <c r="F17" s="9"/>
      <c r="G17" s="24" t="n">
        <f aca="false">A17-1</f>
        <v>46265</v>
      </c>
      <c r="H17" s="24" t="n">
        <f aca="false">EOMONTH(A17,0)</f>
        <v>46295</v>
      </c>
      <c r="I17" s="25" t="n">
        <f aca="false">DAY(H17)</f>
        <v>30</v>
      </c>
    </row>
    <row r="18" customFormat="false" ht="23.85" hidden="false" customHeight="false" outlineLevel="0" collapsed="false">
      <c r="A18" s="21" t="n">
        <v>46296</v>
      </c>
      <c r="B18" s="26" t="n">
        <v>0.0108</v>
      </c>
      <c r="C18" s="23" t="n">
        <f aca="false">MAX(0,MIN(EOMONTH(A18,0),Resumo!$C$12)-MAX(A18-1,Resumo!$C$10))/DAY(EOMONTH(A18,0))</f>
        <v>0.967741935483871</v>
      </c>
      <c r="D18" s="23" t="n">
        <f aca="false">MAX(0,MIN(EOMONTH(A18,0),Resumo!$C$12)-MAX(A18-1,Resumo!$C$11))/DAY(EOMONTH(A18,0))</f>
        <v>0.967741935483871</v>
      </c>
      <c r="E18" s="27" t="s">
        <v>65</v>
      </c>
      <c r="F18" s="9" t="s">
        <v>66</v>
      </c>
      <c r="G18" s="24" t="n">
        <f aca="false">A18-1</f>
        <v>46295</v>
      </c>
      <c r="H18" s="24" t="n">
        <f aca="false">EOMONTH(A18,0)</f>
        <v>46326</v>
      </c>
      <c r="I18" s="25" t="n">
        <f aca="false">DAY(H18)</f>
        <v>31</v>
      </c>
    </row>
    <row r="20" customFormat="false" ht="25.35" hidden="false" customHeight="false" outlineLevel="0" collapsed="false">
      <c r="A20" s="3" t="s">
        <v>67</v>
      </c>
      <c r="B20" s="11"/>
      <c r="C20" s="28" t="n">
        <f aca="false">EXP(SUMPRODUCT(LN(1+$B$5:$B$18*C5:C18)))</f>
        <v>1.13530961958417</v>
      </c>
      <c r="D20" s="28" t="n">
        <f aca="false">EXP(SUMPRODUCT(LN(1+$B$5:$B$18*D5:D18)))</f>
        <v>1.03290370093909</v>
      </c>
    </row>
    <row r="21" customFormat="false" ht="15" hidden="false" customHeight="false" outlineLevel="0" collapsed="false">
      <c r="A21" s="3" t="s">
        <v>68</v>
      </c>
      <c r="B21" s="11"/>
      <c r="C21" s="29" t="n">
        <f aca="false">C20-1</f>
        <v>0.135309619584169</v>
      </c>
      <c r="D21" s="29" t="n">
        <f aca="false">D20-1</f>
        <v>0.0329037009390918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40"/>
  </cols>
  <sheetData>
    <row r="1" customFormat="false" ht="16.4" hidden="false" customHeight="true" outlineLevel="0" collapsed="false">
      <c r="A1" s="19" t="s">
        <v>69</v>
      </c>
      <c r="B1" s="19"/>
      <c r="C1" s="19"/>
      <c r="D1" s="19"/>
      <c r="E1" s="19"/>
      <c r="F1" s="19"/>
      <c r="G1" s="19"/>
      <c r="H1" s="19"/>
    </row>
    <row r="2" customFormat="false" ht="27.75" hidden="false" customHeight="true" outlineLevel="0" collapsed="false">
      <c r="A2" s="20" t="s">
        <v>70</v>
      </c>
      <c r="B2" s="20"/>
      <c r="C2" s="20"/>
      <c r="D2" s="20"/>
      <c r="E2" s="20"/>
      <c r="F2" s="20"/>
      <c r="G2" s="20"/>
      <c r="H2" s="20"/>
    </row>
    <row r="4" customFormat="false" ht="31.5" hidden="false" customHeight="true" outlineLevel="0" collapsed="false">
      <c r="A4" s="2" t="s">
        <v>71</v>
      </c>
      <c r="B4" s="2" t="s">
        <v>72</v>
      </c>
      <c r="C4" s="2" t="s">
        <v>73</v>
      </c>
      <c r="D4" s="2" t="s">
        <v>74</v>
      </c>
      <c r="E4" s="2" t="s">
        <v>75</v>
      </c>
      <c r="F4" s="2" t="s">
        <v>18</v>
      </c>
      <c r="G4" s="2" t="s">
        <v>19</v>
      </c>
      <c r="H4" s="2" t="s">
        <v>60</v>
      </c>
    </row>
    <row r="5" customFormat="false" ht="15" hidden="false" customHeight="false" outlineLevel="0" collapsed="false">
      <c r="A5" s="21" t="n">
        <v>45931</v>
      </c>
      <c r="B5" s="6" t="s">
        <v>76</v>
      </c>
      <c r="C5" s="30" t="n">
        <v>45945</v>
      </c>
      <c r="D5" s="7" t="n">
        <v>125</v>
      </c>
      <c r="E5" s="30" t="n">
        <f aca="false">MAX(C5,Resumo!$C$10)</f>
        <v>45978</v>
      </c>
      <c r="F5" s="8" t="n">
        <f aca="false">EXP(SUMPRODUCT(LN(1+SELIC!$B$5:$B$18*(((((SELIC!$H$5:$H$18+Resumo!$C$12-ABS(SELIC!$H$5:$H$18-Resumo!$C$12))/2)-((SELIC!$G$5:$G$18+E5+ABS(SELIC!$G$5:$G$18-E5))/2))+ABS((((SELIC!$H$5:$H$18+Resumo!$C$12-ABS(SELIC!$H$5:$H$18-Resumo!$C$12))/2)-((SELIC!$G$5:$G$18+E5+ABS(SELIC!$G$5:$G$18-E5))/2))))/2)/SELIC!$I$5:$I$18)))</f>
        <v>1.13530961958417</v>
      </c>
      <c r="G5" s="7" t="n">
        <f aca="false">ROUND(D5*F5,2)</f>
        <v>141.91</v>
      </c>
      <c r="H5" s="9" t="str">
        <f aca="false">IF(C5&lt;Resumo!$C$10,"Pago antes da citação – SELIC desde a citação","SELIC desde o pagamento")</f>
        <v>Pago antes da citação – SELIC desde a citação</v>
      </c>
    </row>
    <row r="6" customFormat="false" ht="15" hidden="false" customHeight="false" outlineLevel="0" collapsed="false">
      <c r="A6" s="21" t="n">
        <v>45931</v>
      </c>
      <c r="B6" s="6" t="s">
        <v>77</v>
      </c>
      <c r="C6" s="30" t="n">
        <v>45945</v>
      </c>
      <c r="D6" s="7" t="n">
        <v>125</v>
      </c>
      <c r="E6" s="30" t="n">
        <f aca="false">MAX(C6,Resumo!$C$10)</f>
        <v>45978</v>
      </c>
      <c r="F6" s="8" t="n">
        <f aca="false">EXP(SUMPRODUCT(LN(1+SELIC!$B$5:$B$18*(((((SELIC!$H$5:$H$18+Resumo!$C$12-ABS(SELIC!$H$5:$H$18-Resumo!$C$12))/2)-((SELIC!$G$5:$G$18+E6+ABS(SELIC!$G$5:$G$18-E6))/2))+ABS((((SELIC!$H$5:$H$18+Resumo!$C$12-ABS(SELIC!$H$5:$H$18-Resumo!$C$12))/2)-((SELIC!$G$5:$G$18+E6+ABS(SELIC!$G$5:$G$18-E6))/2))))/2)/SELIC!$I$5:$I$18)))</f>
        <v>1.13530961958417</v>
      </c>
      <c r="G6" s="7" t="n">
        <f aca="false">ROUND(D6*F6,2)</f>
        <v>141.91</v>
      </c>
      <c r="H6" s="9" t="str">
        <f aca="false">IF(C6&lt;Resumo!$C$10,"Pago antes da citação – SELIC desde a citação","SELIC desde o pagamento")</f>
        <v>Pago antes da citação – SELIC desde a citação</v>
      </c>
    </row>
    <row r="7" customFormat="false" ht="15" hidden="false" customHeight="false" outlineLevel="0" collapsed="false">
      <c r="A7" s="21" t="n">
        <v>45931</v>
      </c>
      <c r="B7" s="6" t="s">
        <v>78</v>
      </c>
      <c r="C7" s="30" t="n">
        <v>45945</v>
      </c>
      <c r="D7" s="7" t="n">
        <v>125</v>
      </c>
      <c r="E7" s="30" t="n">
        <f aca="false">MAX(C7,Resumo!$C$10)</f>
        <v>45978</v>
      </c>
      <c r="F7" s="8" t="n">
        <f aca="false">EXP(SUMPRODUCT(LN(1+SELIC!$B$5:$B$18*(((((SELIC!$H$5:$H$18+Resumo!$C$12-ABS(SELIC!$H$5:$H$18-Resumo!$C$12))/2)-((SELIC!$G$5:$G$18+E7+ABS(SELIC!$G$5:$G$18-E7))/2))+ABS((((SELIC!$H$5:$H$18+Resumo!$C$12-ABS(SELIC!$H$5:$H$18-Resumo!$C$12))/2)-((SELIC!$G$5:$G$18+E7+ABS(SELIC!$G$5:$G$18-E7))/2))))/2)/SELIC!$I$5:$I$18)))</f>
        <v>1.13530961958417</v>
      </c>
      <c r="G7" s="7" t="n">
        <f aca="false">ROUND(D7*F7,2)</f>
        <v>141.91</v>
      </c>
      <c r="H7" s="9" t="str">
        <f aca="false">IF(C7&lt;Resumo!$C$10,"Pago antes da citação – SELIC desde a citação","SELIC desde o pagamento")</f>
        <v>Pago antes da citação – SELIC desde a citação</v>
      </c>
    </row>
    <row r="8" customFormat="false" ht="15" hidden="false" customHeight="false" outlineLevel="0" collapsed="false">
      <c r="A8" s="21" t="n">
        <v>45962</v>
      </c>
      <c r="B8" s="6" t="s">
        <v>76</v>
      </c>
      <c r="C8" s="30" t="n">
        <v>45976</v>
      </c>
      <c r="D8" s="7" t="n">
        <v>125</v>
      </c>
      <c r="E8" s="30" t="n">
        <f aca="false">MAX(C8,Resumo!$C$10)</f>
        <v>45978</v>
      </c>
      <c r="F8" s="8" t="n">
        <f aca="false">EXP(SUMPRODUCT(LN(1+SELIC!$B$5:$B$18*(((((SELIC!$H$5:$H$18+Resumo!$C$12-ABS(SELIC!$H$5:$H$18-Resumo!$C$12))/2)-((SELIC!$G$5:$G$18+E8+ABS(SELIC!$G$5:$G$18-E8))/2))+ABS((((SELIC!$H$5:$H$18+Resumo!$C$12-ABS(SELIC!$H$5:$H$18-Resumo!$C$12))/2)-((SELIC!$G$5:$G$18+E8+ABS(SELIC!$G$5:$G$18-E8))/2))))/2)/SELIC!$I$5:$I$18)))</f>
        <v>1.13530961958417</v>
      </c>
      <c r="G8" s="7" t="n">
        <f aca="false">ROUND(D8*F8,2)</f>
        <v>141.91</v>
      </c>
      <c r="H8" s="9" t="str">
        <f aca="false">IF(C8&lt;Resumo!$C$10,"Pago antes da citação – SELIC desde a citação","SELIC desde o pagamento")</f>
        <v>Pago antes da citação – SELIC desde a citação</v>
      </c>
    </row>
    <row r="9" customFormat="false" ht="15" hidden="false" customHeight="false" outlineLevel="0" collapsed="false">
      <c r="A9" s="21" t="n">
        <v>45962</v>
      </c>
      <c r="B9" s="6" t="s">
        <v>77</v>
      </c>
      <c r="C9" s="30" t="n">
        <v>45976</v>
      </c>
      <c r="D9" s="7" t="n">
        <v>125</v>
      </c>
      <c r="E9" s="30" t="n">
        <f aca="false">MAX(C9,Resumo!$C$10)</f>
        <v>45978</v>
      </c>
      <c r="F9" s="8" t="n">
        <f aca="false">EXP(SUMPRODUCT(LN(1+SELIC!$B$5:$B$18*(((((SELIC!$H$5:$H$18+Resumo!$C$12-ABS(SELIC!$H$5:$H$18-Resumo!$C$12))/2)-((SELIC!$G$5:$G$18+E9+ABS(SELIC!$G$5:$G$18-E9))/2))+ABS((((SELIC!$H$5:$H$18+Resumo!$C$12-ABS(SELIC!$H$5:$H$18-Resumo!$C$12))/2)-((SELIC!$G$5:$G$18+E9+ABS(SELIC!$G$5:$G$18-E9))/2))))/2)/SELIC!$I$5:$I$18)))</f>
        <v>1.13530961958417</v>
      </c>
      <c r="G9" s="7" t="n">
        <f aca="false">ROUND(D9*F9,2)</f>
        <v>141.91</v>
      </c>
      <c r="H9" s="9" t="str">
        <f aca="false">IF(C9&lt;Resumo!$C$10,"Pago antes da citação – SELIC desde a citação","SELIC desde o pagamento")</f>
        <v>Pago antes da citação – SELIC desde a citação</v>
      </c>
    </row>
    <row r="10" customFormat="false" ht="15" hidden="false" customHeight="false" outlineLevel="0" collapsed="false">
      <c r="A10" s="21" t="n">
        <v>45962</v>
      </c>
      <c r="B10" s="6" t="s">
        <v>78</v>
      </c>
      <c r="C10" s="30" t="n">
        <v>45976</v>
      </c>
      <c r="D10" s="7" t="n">
        <v>125</v>
      </c>
      <c r="E10" s="30" t="n">
        <f aca="false">MAX(C10,Resumo!$C$10)</f>
        <v>45978</v>
      </c>
      <c r="F10" s="8" t="n">
        <f aca="false">EXP(SUMPRODUCT(LN(1+SELIC!$B$5:$B$18*(((((SELIC!$H$5:$H$18+Resumo!$C$12-ABS(SELIC!$H$5:$H$18-Resumo!$C$12))/2)-((SELIC!$G$5:$G$18+E10+ABS(SELIC!$G$5:$G$18-E10))/2))+ABS((((SELIC!$H$5:$H$18+Resumo!$C$12-ABS(SELIC!$H$5:$H$18-Resumo!$C$12))/2)-((SELIC!$G$5:$G$18+E10+ABS(SELIC!$G$5:$G$18-E10))/2))))/2)/SELIC!$I$5:$I$18)))</f>
        <v>1.13530961958417</v>
      </c>
      <c r="G10" s="7" t="n">
        <f aca="false">ROUND(D10*F10,2)</f>
        <v>141.91</v>
      </c>
      <c r="H10" s="9" t="str">
        <f aca="false">IF(C10&lt;Resumo!$C$10,"Pago antes da citação – SELIC desde a citação","SELIC desde o pagamento")</f>
        <v>Pago antes da citação – SELIC desde a citação</v>
      </c>
    </row>
    <row r="11" customFormat="false" ht="15" hidden="false" customHeight="false" outlineLevel="0" collapsed="false">
      <c r="A11" s="21" t="n">
        <v>45992</v>
      </c>
      <c r="B11" s="6" t="s">
        <v>76</v>
      </c>
      <c r="C11" s="30" t="n">
        <v>46006</v>
      </c>
      <c r="D11" s="7" t="n">
        <v>125</v>
      </c>
      <c r="E11" s="30" t="n">
        <f aca="false">MAX(C11,Resumo!$C$10)</f>
        <v>46006</v>
      </c>
      <c r="F11" s="8" t="n">
        <f aca="false">EXP(SUMPRODUCT(LN(1+SELIC!$B$5:$B$18*(((((SELIC!$H$5:$H$18+Resumo!$C$12-ABS(SELIC!$H$5:$H$18-Resumo!$C$12))/2)-((SELIC!$G$5:$G$18+E11+ABS(SELIC!$G$5:$G$18-E11))/2))+ABS((((SELIC!$H$5:$H$18+Resumo!$C$12-ABS(SELIC!$H$5:$H$18-Resumo!$C$12))/2)-((SELIC!$G$5:$G$18+E11+ABS(SELIC!$G$5:$G$18-E11))/2))))/2)/SELIC!$I$5:$I$18)))</f>
        <v>1.12357613787759</v>
      </c>
      <c r="G11" s="7" t="n">
        <f aca="false">ROUND(D11*F11,2)</f>
        <v>140.45</v>
      </c>
      <c r="H11" s="9" t="str">
        <f aca="false">IF(C11&lt;Resumo!$C$10,"Pago antes da citação – SELIC desde a citação","SELIC desde o pagamento")</f>
        <v>SELIC desde o pagamento</v>
      </c>
    </row>
    <row r="12" customFormat="false" ht="15" hidden="false" customHeight="false" outlineLevel="0" collapsed="false">
      <c r="A12" s="21" t="n">
        <v>45992</v>
      </c>
      <c r="B12" s="6" t="s">
        <v>77</v>
      </c>
      <c r="C12" s="30" t="n">
        <v>46006</v>
      </c>
      <c r="D12" s="7" t="n">
        <v>125</v>
      </c>
      <c r="E12" s="30" t="n">
        <f aca="false">MAX(C12,Resumo!$C$10)</f>
        <v>46006</v>
      </c>
      <c r="F12" s="8" t="n">
        <f aca="false">EXP(SUMPRODUCT(LN(1+SELIC!$B$5:$B$18*(((((SELIC!$H$5:$H$18+Resumo!$C$12-ABS(SELIC!$H$5:$H$18-Resumo!$C$12))/2)-((SELIC!$G$5:$G$18+E12+ABS(SELIC!$G$5:$G$18-E12))/2))+ABS((((SELIC!$H$5:$H$18+Resumo!$C$12-ABS(SELIC!$H$5:$H$18-Resumo!$C$12))/2)-((SELIC!$G$5:$G$18+E12+ABS(SELIC!$G$5:$G$18-E12))/2))))/2)/SELIC!$I$5:$I$18)))</f>
        <v>1.12357613787759</v>
      </c>
      <c r="G12" s="7" t="n">
        <f aca="false">ROUND(D12*F12,2)</f>
        <v>140.45</v>
      </c>
      <c r="H12" s="9" t="str">
        <f aca="false">IF(C12&lt;Resumo!$C$10,"Pago antes da citação – SELIC desde a citação","SELIC desde o pagamento")</f>
        <v>SELIC desde o pagamento</v>
      </c>
    </row>
    <row r="13" customFormat="false" ht="15" hidden="false" customHeight="false" outlineLevel="0" collapsed="false">
      <c r="A13" s="21" t="n">
        <v>45992</v>
      </c>
      <c r="B13" s="6" t="s">
        <v>78</v>
      </c>
      <c r="C13" s="30" t="n">
        <v>46006</v>
      </c>
      <c r="D13" s="7" t="n">
        <v>125</v>
      </c>
      <c r="E13" s="30" t="n">
        <f aca="false">MAX(C13,Resumo!$C$10)</f>
        <v>46006</v>
      </c>
      <c r="F13" s="8" t="n">
        <f aca="false">EXP(SUMPRODUCT(LN(1+SELIC!$B$5:$B$18*(((((SELIC!$H$5:$H$18+Resumo!$C$12-ABS(SELIC!$H$5:$H$18-Resumo!$C$12))/2)-((SELIC!$G$5:$G$18+E13+ABS(SELIC!$G$5:$G$18-E13))/2))+ABS((((SELIC!$H$5:$H$18+Resumo!$C$12-ABS(SELIC!$H$5:$H$18-Resumo!$C$12))/2)-((SELIC!$G$5:$G$18+E13+ABS(SELIC!$G$5:$G$18-E13))/2))))/2)/SELIC!$I$5:$I$18)))</f>
        <v>1.12357613787759</v>
      </c>
      <c r="G13" s="7" t="n">
        <f aca="false">ROUND(D13*F13,2)</f>
        <v>140.45</v>
      </c>
      <c r="H13" s="9" t="str">
        <f aca="false">IF(C13&lt;Resumo!$C$10,"Pago antes da citação – SELIC desde a citação","SELIC desde o pagamento")</f>
        <v>SELIC desde o pagamento</v>
      </c>
    </row>
    <row r="14" customFormat="false" ht="15" hidden="false" customHeight="false" outlineLevel="0" collapsed="false">
      <c r="A14" s="21" t="n">
        <v>46023</v>
      </c>
      <c r="B14" s="6" t="s">
        <v>76</v>
      </c>
      <c r="C14" s="30" t="n">
        <v>46037</v>
      </c>
      <c r="D14" s="7" t="n">
        <v>125</v>
      </c>
      <c r="E14" s="30" t="n">
        <f aca="false">MAX(C14,Resumo!$C$10)</f>
        <v>46037</v>
      </c>
      <c r="F14" s="8" t="n">
        <f aca="false">EXP(SUMPRODUCT(LN(1+SELIC!$B$5:$B$18*(((((SELIC!$H$5:$H$18+Resumo!$C$12-ABS(SELIC!$H$5:$H$18-Resumo!$C$12))/2)-((SELIC!$G$5:$G$18+E14+ABS(SELIC!$G$5:$G$18-E14))/2))+ABS((((SELIC!$H$5:$H$18+Resumo!$C$12-ABS(SELIC!$H$5:$H$18-Resumo!$C$12))/2)-((SELIC!$G$5:$G$18+E14+ABS(SELIC!$G$5:$G$18-E14))/2))))/2)/SELIC!$I$5:$I$18)))</f>
        <v>1.11035030540494</v>
      </c>
      <c r="G14" s="7" t="n">
        <f aca="false">ROUND(D14*F14,2)</f>
        <v>138.79</v>
      </c>
      <c r="H14" s="9" t="str">
        <f aca="false">IF(C14&lt;Resumo!$C$10,"Pago antes da citação – SELIC desde a citação","SELIC desde o pagamento")</f>
        <v>SELIC desde o pagamento</v>
      </c>
    </row>
    <row r="15" customFormat="false" ht="15" hidden="false" customHeight="false" outlineLevel="0" collapsed="false">
      <c r="A15" s="21" t="n">
        <v>46023</v>
      </c>
      <c r="B15" s="6" t="s">
        <v>77</v>
      </c>
      <c r="C15" s="30" t="n">
        <v>46037</v>
      </c>
      <c r="D15" s="7" t="n">
        <v>125</v>
      </c>
      <c r="E15" s="30" t="n">
        <f aca="false">MAX(C15,Resumo!$C$10)</f>
        <v>46037</v>
      </c>
      <c r="F15" s="8" t="n">
        <f aca="false">EXP(SUMPRODUCT(LN(1+SELIC!$B$5:$B$18*(((((SELIC!$H$5:$H$18+Resumo!$C$12-ABS(SELIC!$H$5:$H$18-Resumo!$C$12))/2)-((SELIC!$G$5:$G$18+E15+ABS(SELIC!$G$5:$G$18-E15))/2))+ABS((((SELIC!$H$5:$H$18+Resumo!$C$12-ABS(SELIC!$H$5:$H$18-Resumo!$C$12))/2)-((SELIC!$G$5:$G$18+E15+ABS(SELIC!$G$5:$G$18-E15))/2))))/2)/SELIC!$I$5:$I$18)))</f>
        <v>1.11035030540494</v>
      </c>
      <c r="G15" s="7" t="n">
        <f aca="false">ROUND(D15*F15,2)</f>
        <v>138.79</v>
      </c>
      <c r="H15" s="9" t="str">
        <f aca="false">IF(C15&lt;Resumo!$C$10,"Pago antes da citação – SELIC desde a citação","SELIC desde o pagamento")</f>
        <v>SELIC desde o pagamento</v>
      </c>
    </row>
    <row r="16" customFormat="false" ht="15" hidden="false" customHeight="false" outlineLevel="0" collapsed="false">
      <c r="A16" s="21" t="n">
        <v>46023</v>
      </c>
      <c r="B16" s="6" t="s">
        <v>78</v>
      </c>
      <c r="C16" s="30" t="n">
        <v>46037</v>
      </c>
      <c r="D16" s="7" t="n">
        <v>125</v>
      </c>
      <c r="E16" s="30" t="n">
        <f aca="false">MAX(C16,Resumo!$C$10)</f>
        <v>46037</v>
      </c>
      <c r="F16" s="8" t="n">
        <f aca="false">EXP(SUMPRODUCT(LN(1+SELIC!$B$5:$B$18*(((((SELIC!$H$5:$H$18+Resumo!$C$12-ABS(SELIC!$H$5:$H$18-Resumo!$C$12))/2)-((SELIC!$G$5:$G$18+E16+ABS(SELIC!$G$5:$G$18-E16))/2))+ABS((((SELIC!$H$5:$H$18+Resumo!$C$12-ABS(SELIC!$H$5:$H$18-Resumo!$C$12))/2)-((SELIC!$G$5:$G$18+E16+ABS(SELIC!$G$5:$G$18-E16))/2))))/2)/SELIC!$I$5:$I$18)))</f>
        <v>1.11035030540494</v>
      </c>
      <c r="G16" s="7" t="n">
        <f aca="false">ROUND(D16*F16,2)</f>
        <v>138.79</v>
      </c>
      <c r="H16" s="9" t="str">
        <f aca="false">IF(C16&lt;Resumo!$C$10,"Pago antes da citação – SELIC desde a citação","SELIC desde o pagamento")</f>
        <v>SELIC desde o pagamento</v>
      </c>
    </row>
    <row r="17" customFormat="false" ht="15" hidden="false" customHeight="false" outlineLevel="0" collapsed="false">
      <c r="A17" s="2" t="s">
        <v>79</v>
      </c>
      <c r="B17" s="14"/>
      <c r="C17" s="14"/>
      <c r="D17" s="16" t="n">
        <f aca="false">SUM(D5:D16)</f>
        <v>1500</v>
      </c>
      <c r="E17" s="14"/>
      <c r="F17" s="14"/>
      <c r="G17" s="16" t="n">
        <f aca="false">SUM(G5:G16)</f>
        <v>1689.18</v>
      </c>
      <c r="H17" s="1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2026-10-30T10:02:30Z</dcterms:created>
  <dc:creator>openpyxl</dc:creator>
  <dc:description/>
  <dc:language>en-US</dc:language>
  <cp:lastModifiedBy/>
  <dcterms:modified xsi:type="dcterms:W3CDTF">2026-10-30T10:02:30Z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