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o" sheetId="1" state="visible" r:id="rId3"/>
    <sheet name="SELI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CONFERIR: data da citação nos autos (juntada do AR/ciência eletrônica). A data aqui lançada é provisória e altera todo o cálculo da restituição.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42</xdr:colOff>
                <xdr:row>0</xdr:row>
                <xdr:rowOff>4</xdr:rowOff>
              </xdr:from>
              <xdr:to>
                <xdr:col>2</xdr:col>
                <xdr:colOff>-154</xdr:colOff>
                <xdr:row>5</xdr:row>
                <xdr:rowOff>11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<sst xmlns="http://schemas.openxmlformats.org/spreadsheetml/2006/main" count="89" uniqueCount="63">
  <si>
    <t xml:space="preserve">PLANILHA DE CÁLCULO – CUMPRIMENTO DE SENTENÇA</t>
  </si>
  <si>
    <t xml:space="preserve">DADOS DO PROCESSO</t>
  </si>
  <si>
    <t xml:space="preserve">Processo</t>
  </si>
  <si>
    <t xml:space="preserve">0800633-40.2025.8.18.0061 – Vara Única da Comarca de Miguel Alves/PI</t>
  </si>
  <si>
    <t xml:space="preserve">Data da citação (termo inicial – restituição)</t>
  </si>
  <si>
    <t xml:space="preserve">Data do arbitramento (termo inicial – danos morais)</t>
  </si>
  <si>
    <t xml:space="preserve">Data-base do cálculo</t>
  </si>
  <si>
    <t xml:space="preserve">Exequente</t>
  </si>
  <si>
    <t xml:space="preserve">MARIA DOS MILAGRES DE SOUSA OLIVEIRA (gratuidade de justiça deferida)</t>
  </si>
  <si>
    <t xml:space="preserve">Executados (responsabilidade solidária)</t>
  </si>
  <si>
    <t xml:space="preserve">PORTAL DA CIDADE DE MIGUEL ALVES SPE LTDA; VIVALAR INCORPORAÇÕES IMOBILIÁRIAS LTDA; ROGERS RAMON SOARES FREITAS</t>
  </si>
  <si>
    <t xml:space="preserve">Título executivo</t>
  </si>
  <si>
    <t xml:space="preserve">Sentença ID 101853105, integrada pela decisão em embargos de declaração ID 105869610</t>
  </si>
  <si>
    <t xml:space="preserve">Índice</t>
  </si>
  <si>
    <t xml:space="preserve">Taxa SELIC (correção monetária + juros de mora), conforme o título</t>
  </si>
  <si>
    <t xml:space="preserve">Item</t>
  </si>
  <si>
    <t xml:space="preserve">Verba</t>
  </si>
  <si>
    <t xml:space="preserve">Valor histórico</t>
  </si>
  <si>
    <t xml:space="preserve">Fator SELIC</t>
  </si>
  <si>
    <t xml:space="preserve">Valor atualizado</t>
  </si>
  <si>
    <t xml:space="preserve">Fundamento</t>
  </si>
  <si>
    <t xml:space="preserve">1</t>
  </si>
  <si>
    <t xml:space="preserve">Restituição integral dos valores pagos (contratos nº 522, 523 e 524 – lotes 40, 41 e 39 da Quadra D), já incluídos sinal e corretagem</t>
  </si>
  <si>
    <t xml:space="preserve">Sentença, item I; decisão ED, item "e" – SELIC desde a citação</t>
  </si>
  <si>
    <t xml:space="preserve">2</t>
  </si>
  <si>
    <t xml:space="preserve">Indenização por danos morais</t>
  </si>
  <si>
    <t xml:space="preserve">Sentença, item II – SELIC desde o arbitramento (30/07/2026)</t>
  </si>
  <si>
    <t xml:space="preserve">3</t>
  </si>
  <si>
    <t xml:space="preserve">Subtotal da condenação (1 + 2)</t>
  </si>
  <si>
    <t xml:space="preserve">4</t>
  </si>
  <si>
    <t xml:space="preserve">Honorários advocatícios sucumbenciais – 10% sobre o valor da condenação</t>
  </si>
  <si>
    <t xml:space="preserve">Sentença (dispositivo); mantidos na decisão ED, item "a"</t>
  </si>
  <si>
    <t xml:space="preserve">TOTAL DEVIDO PARA PAGAMENTO VOLUNTÁRIO (art. 523, caput, CPC)</t>
  </si>
  <si>
    <t xml:space="preserve">ACRÉSCIMOS EM CASO DE NÃO PAGAMENTO EM 15 DIAS (art. 523, § 1º, CPC)</t>
  </si>
  <si>
    <t xml:space="preserve">Percentual</t>
  </si>
  <si>
    <t xml:space="preserve">Valor</t>
  </si>
  <si>
    <t xml:space="preserve">5</t>
  </si>
  <si>
    <t xml:space="preserve">Multa</t>
  </si>
  <si>
    <t xml:space="preserve">Art. 523, § 1º, CPC</t>
  </si>
  <si>
    <t xml:space="preserve">6</t>
  </si>
  <si>
    <t xml:space="preserve">Honorários advocatícios da fase de cumprimento</t>
  </si>
  <si>
    <t xml:space="preserve">TOTAL APÓS O PRAZO SEM PAGAMENTO (TOTAL + MULTA + HONORÁRIOS)</t>
  </si>
  <si>
    <t xml:space="preserve">OBSERVAÇÕES</t>
  </si>
  <si>
    <t xml:space="preserve">1. Valor histórico da restituição fixado pela decisão de embargos (ID 105869610, item "e"): R$ 33.247,41, já incluídos sinal e intermediação/corretagem – sem cobrança autônoma da corretagem (vedado o bis in idem).</t>
  </si>
  <si>
    <t xml:space="preserve">2. A SELIC engloba correção monetária e juros de mora; por isso não se aplica outro índice nem juros adicionais (título executivo).</t>
  </si>
  <si>
    <t xml:space="preserve">3. Fator SELIC: produto dos fatores mensais (1 + taxa × fração do mês), com pro rata die nos meses inicial e final – detalhamento na aba "SELIC".</t>
  </si>
  <si>
    <t xml:space="preserve">4. Responsabilidade solidária dos três executados (decisão ED, item "d"): o total pode ser exigido integralmente de qualquer deles (art. 275 do CC).</t>
  </si>
  <si>
    <t xml:space="preserve">5. Custas processuais: a cargo dos executados, conforme a conta da Secretaria; não integram o crédito da exequente, beneficiária da gratuidade.</t>
  </si>
  <si>
    <t xml:space="preserve">6. Células em amarelo devem ser conferidas antes do protocolo (data da citação e índices SELIC não oficiais).</t>
  </si>
  <si>
    <t xml:space="preserve">TABELA DA TAXA SELIC ACUMULADA NO MÊS (BCB – SGS 4390)</t>
  </si>
  <si>
    <t xml:space="preserve">Fração = parcela do mês efetivamente decorrida dentro do período de incidência (pro rata die nos meses inicial e final). Células amarelas: conferir com a série oficial antes do protocolo.</t>
  </si>
  <si>
    <t xml:space="preserve">Mês</t>
  </si>
  <si>
    <t xml:space="preserve">SELIC (% a.m.)</t>
  </si>
  <si>
    <t xml:space="preserve">Fração – Restituição
(desde a citação)</t>
  </si>
  <si>
    <t xml:space="preserve">Fração – Danos morais
(desde o arbitramento)</t>
  </si>
  <si>
    <t xml:space="preserve">Situação</t>
  </si>
  <si>
    <t xml:space="preserve">Observação</t>
  </si>
  <si>
    <t xml:space="preserve">Conferir</t>
  </si>
  <si>
    <t xml:space="preserve">Confirmar na série oficial do BCB</t>
  </si>
  <si>
    <t xml:space="preserve">Estimativa</t>
  </si>
  <si>
    <t xml:space="preserve">Mês sem dado disponível – substituir pelo índice oficial</t>
  </si>
  <si>
    <t xml:space="preserve">Fator acumulado</t>
  </si>
  <si>
    <t xml:space="preserve">Variação (%)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</si>
</sst>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&quot;R$ &quot;#,##0.00"/>
    <numFmt numFmtId="167" formatCode="0.000000"/>
    <numFmt numFmtId="168" formatCode="0%"/>
    <numFmt numFmtId="169" formatCode="[$-416]mmm/yyyy"/>
    <numFmt numFmtId="170" formatCode="0.00%"/>
    <numFmt numFmtId="171" formatCode="0.0000"/>
    <numFmt numFmtId="172" formatCode="0.00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23BB8"/>
      <name val="Lora"/>
      <family val="0"/>
      <charset val="1"/>
    </font>
    <font>
      <b val="true"/>
      <sz val="10"/>
      <color rgb="FFFFFFFF"/>
      <name val="Lora"/>
      <family val="0"/>
      <charset val="1"/>
    </font>
    <font>
      <b val="true"/>
      <sz val="10"/>
      <name val="Lora"/>
      <family val="0"/>
      <charset val="1"/>
    </font>
    <font>
      <sz val="10"/>
      <name val="Lora"/>
      <family val="0"/>
      <charset val="1"/>
    </font>
    <font>
      <sz val="9"/>
      <name val="Lora"/>
      <family val="0"/>
      <charset val="1"/>
    </font>
    <font>
      <sz val="10"/>
      <name val="Arial"/>
      <family val="2"/>
    </font>
    <font>
      <b val="true"/>
      <sz val="12"/>
      <color rgb="FF123BB8"/>
      <name val="Lora"/>
      <family val="0"/>
      <charset val="1"/>
    </font>
    <font>
      <i val="true"/>
      <sz val="9"/>
      <name val="Lor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2F2F2"/>
        <bgColor rgb="FFFFFFFF"/>
      </patternFill>
    </fill>
    <fill>
      <patternFill patternType="solid">
        <fgColor rgb="FFFFF2A8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888888"/>
      </left>
      <right/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23BB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0</xdr:row>
      <xdr:rowOff>0</xdr:rowOff>
    </xdr:from>
    <xdr:to>
      <xdr:col>3</xdr:col>
      <xdr:colOff>540360</xdr:colOff>
      <xdr:row>4</xdr:row>
      <xdr:rowOff>151920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594600" y="0"/>
          <a:ext cx="180936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15.75" hidden="false" customHeight="true" outlineLevel="0" collapsed="false"/>
    <row r="2" customFormat="false" ht="15.75" hidden="false" customHeight="true" outlineLevel="0" collapsed="false"/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6.4" hidden="false" customHeight="true" outlineLevel="0" collapsed="false">
      <c r="A6" s="1" t="s">
        <v>0</v>
      </c>
      <c r="B6" s="1"/>
      <c r="C6" s="1"/>
      <c r="D6" s="1"/>
      <c r="E6" s="1"/>
      <c r="F6" s="1"/>
    </row>
    <row r="8" customFormat="false" ht="15" hidden="false" customHeight="true" outlineLevel="0" collapsed="false">
      <c r="A8" s="2"/>
      <c r="B8" s="2" t="s">
        <v>1</v>
      </c>
      <c r="C8" s="2"/>
      <c r="D8" s="2"/>
      <c r="E8" s="2"/>
      <c r="F8" s="2"/>
    </row>
    <row r="9" customFormat="false" ht="18" hidden="false" customHeight="true" outlineLevel="0" collapsed="false">
      <c r="B9" s="3" t="s">
        <v>2</v>
      </c>
      <c r="C9" s="4" t="s">
        <v>3</v>
      </c>
      <c r="D9" s="4"/>
      <c r="E9" s="4"/>
      <c r="F9" s="4"/>
    </row>
    <row r="10" customFormat="false" ht="18" hidden="false" customHeight="true" outlineLevel="0" collapsed="false">
      <c r="B10" s="3" t="s">
        <v>4</v>
      </c>
      <c r="C10" s="5" t="n">
        <v>45950</v>
      </c>
      <c r="D10" s="5"/>
      <c r="E10" s="5"/>
      <c r="F10" s="5"/>
    </row>
    <row r="11" customFormat="false" ht="18" hidden="false" customHeight="true" outlineLevel="0" collapsed="false">
      <c r="B11" s="3" t="s">
        <v>5</v>
      </c>
      <c r="C11" s="6" t="n">
        <v>46233</v>
      </c>
      <c r="D11" s="6"/>
      <c r="E11" s="6"/>
      <c r="F11" s="6"/>
    </row>
    <row r="12" customFormat="false" ht="18" hidden="false" customHeight="true" outlineLevel="0" collapsed="false">
      <c r="B12" s="3" t="s">
        <v>6</v>
      </c>
      <c r="C12" s="6" t="n">
        <v>46325</v>
      </c>
      <c r="D12" s="6"/>
      <c r="E12" s="6"/>
      <c r="F12" s="6"/>
    </row>
    <row r="13" customFormat="false" ht="18" hidden="false" customHeight="true" outlineLevel="0" collapsed="false">
      <c r="B13" s="3" t="s">
        <v>7</v>
      </c>
      <c r="C13" s="4" t="s">
        <v>8</v>
      </c>
      <c r="D13" s="4"/>
      <c r="E13" s="4"/>
      <c r="F13" s="4"/>
    </row>
    <row r="14" customFormat="false" ht="30" hidden="false" customHeight="true" outlineLevel="0" collapsed="false">
      <c r="B14" s="3" t="s">
        <v>9</v>
      </c>
      <c r="C14" s="4" t="s">
        <v>10</v>
      </c>
      <c r="D14" s="4"/>
      <c r="E14" s="4"/>
      <c r="F14" s="4"/>
    </row>
    <row r="15" customFormat="false" ht="30" hidden="false" customHeight="true" outlineLevel="0" collapsed="false">
      <c r="B15" s="3" t="s">
        <v>11</v>
      </c>
      <c r="C15" s="4" t="s">
        <v>12</v>
      </c>
      <c r="D15" s="4"/>
      <c r="E15" s="4"/>
      <c r="F15" s="4"/>
    </row>
    <row r="16" customFormat="false" ht="18" hidden="false" customHeight="true" outlineLevel="0" collapsed="false">
      <c r="B16" s="3" t="s">
        <v>13</v>
      </c>
      <c r="C16" s="4" t="s">
        <v>14</v>
      </c>
      <c r="D16" s="4"/>
      <c r="E16" s="4"/>
      <c r="F16" s="4"/>
    </row>
    <row r="18" customFormat="false" ht="30" hidden="false" customHeight="true" outlineLevel="0" collapsed="false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20</v>
      </c>
    </row>
    <row r="19" customFormat="false" ht="45" hidden="false" customHeight="true" outlineLevel="0" collapsed="false">
      <c r="A19" s="7" t="s">
        <v>21</v>
      </c>
      <c r="B19" s="4" t="s">
        <v>22</v>
      </c>
      <c r="C19" s="8" t="n">
        <v>33247.41</v>
      </c>
      <c r="D19" s="9" t="n">
        <f aca="false">SELIC!$C$20</f>
        <v>1.14407885292862</v>
      </c>
      <c r="E19" s="8" t="n">
        <f aca="false">ROUND(C19*D19,2)</f>
        <v>38037.66</v>
      </c>
      <c r="F19" s="10" t="s">
        <v>23</v>
      </c>
    </row>
    <row r="20" customFormat="false" ht="45" hidden="false" customHeight="true" outlineLevel="0" collapsed="false">
      <c r="A20" s="7" t="s">
        <v>24</v>
      </c>
      <c r="B20" s="4" t="s">
        <v>25</v>
      </c>
      <c r="C20" s="8" t="n">
        <v>2000</v>
      </c>
      <c r="D20" s="9" t="n">
        <f aca="false">SELIC!$D$20</f>
        <v>1.03007451562321</v>
      </c>
      <c r="E20" s="8" t="n">
        <f aca="false">ROUND(C20*D20,2)</f>
        <v>2060.15</v>
      </c>
      <c r="F20" s="10" t="s">
        <v>26</v>
      </c>
    </row>
    <row r="21" customFormat="false" ht="15" hidden="false" customHeight="false" outlineLevel="0" collapsed="false">
      <c r="A21" s="7" t="s">
        <v>27</v>
      </c>
      <c r="B21" s="3" t="s">
        <v>28</v>
      </c>
      <c r="C21" s="11" t="n">
        <f aca="false">C19+C20</f>
        <v>35247.41</v>
      </c>
      <c r="D21" s="12"/>
      <c r="E21" s="13" t="n">
        <f aca="false">E19+E20</f>
        <v>40097.81</v>
      </c>
      <c r="F21" s="12"/>
    </row>
    <row r="22" customFormat="false" ht="30" hidden="false" customHeight="true" outlineLevel="0" collapsed="false">
      <c r="A22" s="7" t="s">
        <v>29</v>
      </c>
      <c r="B22" s="4" t="s">
        <v>30</v>
      </c>
      <c r="C22" s="14" t="n">
        <v>0.1</v>
      </c>
      <c r="D22" s="7"/>
      <c r="E22" s="8" t="n">
        <f aca="false">ROUND(E21*C22,2)</f>
        <v>4009.78</v>
      </c>
      <c r="F22" s="10" t="s">
        <v>31</v>
      </c>
    </row>
    <row r="23" customFormat="false" ht="30" hidden="false" customHeight="true" outlineLevel="0" collapsed="false">
      <c r="A23" s="15"/>
      <c r="B23" s="16" t="s">
        <v>32</v>
      </c>
      <c r="C23" s="15"/>
      <c r="D23" s="15"/>
      <c r="E23" s="17" t="n">
        <f aca="false">E21+E22</f>
        <v>44107.59</v>
      </c>
      <c r="F23" s="15"/>
    </row>
    <row r="25" customFormat="false" ht="30" hidden="false" customHeight="true" outlineLevel="0" collapsed="false">
      <c r="A25" s="2"/>
      <c r="B25" s="2" t="s">
        <v>33</v>
      </c>
      <c r="C25" s="2"/>
      <c r="D25" s="2" t="s">
        <v>34</v>
      </c>
      <c r="E25" s="2" t="s">
        <v>35</v>
      </c>
      <c r="F25" s="2" t="s">
        <v>20</v>
      </c>
    </row>
    <row r="26" customFormat="false" ht="15" hidden="false" customHeight="true" outlineLevel="0" collapsed="false">
      <c r="A26" s="7" t="s">
        <v>36</v>
      </c>
      <c r="B26" s="4" t="s">
        <v>37</v>
      </c>
      <c r="C26" s="4"/>
      <c r="D26" s="14" t="n">
        <v>0.1</v>
      </c>
      <c r="E26" s="8" t="n">
        <f aca="false">ROUND($E$23*D26,2)</f>
        <v>4410.76</v>
      </c>
      <c r="F26" s="10" t="s">
        <v>38</v>
      </c>
    </row>
    <row r="27" customFormat="false" ht="15" hidden="false" customHeight="true" outlineLevel="0" collapsed="false">
      <c r="A27" s="7" t="s">
        <v>39</v>
      </c>
      <c r="B27" s="4" t="s">
        <v>40</v>
      </c>
      <c r="C27" s="4"/>
      <c r="D27" s="14" t="n">
        <v>0.1</v>
      </c>
      <c r="E27" s="8" t="n">
        <f aca="false">ROUND($E$23*D27,2)</f>
        <v>4410.76</v>
      </c>
      <c r="F27" s="10" t="s">
        <v>38</v>
      </c>
    </row>
    <row r="28" customFormat="false" ht="30" hidden="false" customHeight="true" outlineLevel="0" collapsed="false">
      <c r="A28" s="15"/>
      <c r="B28" s="18" t="s">
        <v>41</v>
      </c>
      <c r="C28" s="18"/>
      <c r="D28" s="18"/>
      <c r="E28" s="17" t="n">
        <f aca="false">E23+E26+E27</f>
        <v>52929.11</v>
      </c>
      <c r="F28" s="15"/>
    </row>
    <row r="30" customFormat="false" ht="15" hidden="false" customHeight="true" outlineLevel="0" collapsed="false">
      <c r="A30" s="19" t="s">
        <v>42</v>
      </c>
      <c r="B30" s="19"/>
      <c r="C30" s="19"/>
      <c r="D30" s="19"/>
      <c r="E30" s="19"/>
      <c r="F30" s="19"/>
    </row>
    <row r="31" customFormat="false" ht="30" hidden="false" customHeight="true" outlineLevel="0" collapsed="false">
      <c r="A31" s="10" t="s">
        <v>43</v>
      </c>
      <c r="B31" s="10"/>
      <c r="C31" s="10"/>
      <c r="D31" s="10"/>
      <c r="E31" s="10"/>
      <c r="F31" s="10"/>
    </row>
    <row r="32" customFormat="false" ht="30" hidden="false" customHeight="true" outlineLevel="0" collapsed="false">
      <c r="A32" s="10" t="s">
        <v>44</v>
      </c>
      <c r="B32" s="10"/>
      <c r="C32" s="10"/>
      <c r="D32" s="10"/>
      <c r="E32" s="10"/>
      <c r="F32" s="10"/>
    </row>
    <row r="33" customFormat="false" ht="30" hidden="false" customHeight="true" outlineLevel="0" collapsed="false">
      <c r="A33" s="10" t="s">
        <v>45</v>
      </c>
      <c r="B33" s="10"/>
      <c r="C33" s="10"/>
      <c r="D33" s="10"/>
      <c r="E33" s="10"/>
      <c r="F33" s="10"/>
    </row>
    <row r="34" customFormat="false" ht="30" hidden="false" customHeight="true" outlineLevel="0" collapsed="false">
      <c r="A34" s="10" t="s">
        <v>46</v>
      </c>
      <c r="B34" s="10"/>
      <c r="C34" s="10"/>
      <c r="D34" s="10"/>
      <c r="E34" s="10"/>
      <c r="F34" s="10"/>
    </row>
    <row r="35" customFormat="false" ht="30" hidden="false" customHeight="true" outlineLevel="0" collapsed="false">
      <c r="A35" s="10" t="s">
        <v>47</v>
      </c>
      <c r="B35" s="10"/>
      <c r="C35" s="10"/>
      <c r="D35" s="10"/>
      <c r="E35" s="10"/>
      <c r="F35" s="10"/>
    </row>
    <row r="36" customFormat="false" ht="30" hidden="false" customHeight="true" outlineLevel="0" collapsed="false">
      <c r="A36" s="10" t="s">
        <v>48</v>
      </c>
      <c r="B36" s="10"/>
      <c r="C36" s="10"/>
      <c r="D36" s="10"/>
      <c r="E36" s="10"/>
      <c r="F36" s="10"/>
    </row>
  </sheetData>
  <mergeCells count="21">
    <mergeCell ref="A6:F6"/>
    <mergeCell ref="B8:F8"/>
    <mergeCell ref="C9:F9"/>
    <mergeCell ref="C10:F10"/>
    <mergeCell ref="C11:F11"/>
    <mergeCell ref="C12:F12"/>
    <mergeCell ref="C13:F13"/>
    <mergeCell ref="C14:F14"/>
    <mergeCell ref="C15:F15"/>
    <mergeCell ref="C16:F16"/>
    <mergeCell ref="B25:C25"/>
    <mergeCell ref="B26:C26"/>
    <mergeCell ref="B27:C27"/>
    <mergeCell ref="B28:D28"/>
    <mergeCell ref="A30:F30"/>
    <mergeCell ref="A31:F31"/>
    <mergeCell ref="A32:F32"/>
    <mergeCell ref="A33:F33"/>
    <mergeCell ref="A34:F34"/>
    <mergeCell ref="A35:F35"/>
    <mergeCell ref="A36:F36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&amp;K123bb8Rua Rio Grande do Sul, 1641, bairro São Miguel, CEP: 64.130-000, Miguel Alves-PI – (86) 9 7400-9869 – paduanetojus@gmail.com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4" min="3" style="0" width="22"/>
    <col collapsed="false" customWidth="true" hidden="false" outlineLevel="0" max="5" min="5" style="0" width="13"/>
    <col collapsed="false" customWidth="true" hidden="false" outlineLevel="0" max="6" min="6" style="0" width="42"/>
  </cols>
  <sheetData>
    <row r="1" customFormat="false" ht="16.4" hidden="false" customHeight="true" outlineLevel="0" collapsed="false">
      <c r="A1" s="20" t="s">
        <v>49</v>
      </c>
      <c r="B1" s="20"/>
      <c r="C1" s="20"/>
      <c r="D1" s="20"/>
      <c r="E1" s="20"/>
      <c r="F1" s="20"/>
    </row>
    <row r="2" customFormat="false" ht="30" hidden="false" customHeight="true" outlineLevel="0" collapsed="false">
      <c r="A2" s="21" t="s">
        <v>50</v>
      </c>
      <c r="B2" s="21"/>
      <c r="C2" s="21"/>
      <c r="D2" s="21"/>
      <c r="E2" s="21"/>
      <c r="F2" s="21"/>
    </row>
    <row r="4" customFormat="false" ht="42" hidden="false" customHeight="true" outlineLevel="0" collapsed="false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</row>
    <row r="5" customFormat="false" ht="15" hidden="false" customHeight="false" outlineLevel="0" collapsed="false">
      <c r="A5" s="22" t="n">
        <v>45901</v>
      </c>
      <c r="B5" s="23" t="n">
        <v>0.0122</v>
      </c>
      <c r="C5" s="24" t="n">
        <f aca="false">MAX(0,MIN(EOMONTH(A5,0),Resumo!$C$12)-MAX(A5-1,Resumo!$C$10))/DAY(EOMONTH(A5,0))</f>
        <v>0</v>
      </c>
      <c r="D5" s="24" t="n">
        <f aca="false">MAX(0,MIN(EOMONTH(A5,0),Resumo!$C$12)-MAX(A5-1,Resumo!$C$11))/DAY(EOMONTH(A5,0))</f>
        <v>0</v>
      </c>
      <c r="E5" s="25" t="s">
        <v>57</v>
      </c>
      <c r="F5" s="10" t="s">
        <v>58</v>
      </c>
    </row>
    <row r="6" customFormat="false" ht="15" hidden="false" customHeight="false" outlineLevel="0" collapsed="false">
      <c r="A6" s="22" t="n">
        <v>45931</v>
      </c>
      <c r="B6" s="23" t="n">
        <v>0.0128</v>
      </c>
      <c r="C6" s="24" t="n">
        <f aca="false">MAX(0,MIN(EOMONTH(A6,0),Resumo!$C$12)-MAX(A6-1,Resumo!$C$10))/DAY(EOMONTH(A6,0))</f>
        <v>0.354838709677419</v>
      </c>
      <c r="D6" s="24" t="n">
        <f aca="false">MAX(0,MIN(EOMONTH(A6,0),Resumo!$C$12)-MAX(A6-1,Resumo!$C$11))/DAY(EOMONTH(A6,0))</f>
        <v>0</v>
      </c>
      <c r="E6" s="25" t="s">
        <v>57</v>
      </c>
      <c r="F6" s="10" t="s">
        <v>58</v>
      </c>
    </row>
    <row r="7" customFormat="false" ht="15" hidden="false" customHeight="false" outlineLevel="0" collapsed="false">
      <c r="A7" s="22" t="n">
        <v>45962</v>
      </c>
      <c r="B7" s="23" t="n">
        <v>0.0105</v>
      </c>
      <c r="C7" s="24" t="n">
        <f aca="false">MAX(0,MIN(EOMONTH(A7,0),Resumo!$C$12)-MAX(A7-1,Resumo!$C$10))/DAY(EOMONTH(A7,0))</f>
        <v>1</v>
      </c>
      <c r="D7" s="24" t="n">
        <f aca="false">MAX(0,MIN(EOMONTH(A7,0),Resumo!$C$12)-MAX(A7-1,Resumo!$C$11))/DAY(EOMONTH(A7,0))</f>
        <v>0</v>
      </c>
      <c r="E7" s="25" t="s">
        <v>57</v>
      </c>
      <c r="F7" s="10" t="s">
        <v>58</v>
      </c>
    </row>
    <row r="8" customFormat="false" ht="15" hidden="false" customHeight="false" outlineLevel="0" collapsed="false">
      <c r="A8" s="22" t="n">
        <v>45992</v>
      </c>
      <c r="B8" s="23" t="n">
        <v>0.0122</v>
      </c>
      <c r="C8" s="24" t="n">
        <f aca="false">MAX(0,MIN(EOMONTH(A8,0),Resumo!$C$12)-MAX(A8-1,Resumo!$C$10))/DAY(EOMONTH(A8,0))</f>
        <v>1</v>
      </c>
      <c r="D8" s="24" t="n">
        <f aca="false">MAX(0,MIN(EOMONTH(A8,0),Resumo!$C$12)-MAX(A8-1,Resumo!$C$11))/DAY(EOMONTH(A8,0))</f>
        <v>0</v>
      </c>
      <c r="E8" s="25" t="s">
        <v>57</v>
      </c>
      <c r="F8" s="10" t="s">
        <v>58</v>
      </c>
    </row>
    <row r="9" customFormat="false" ht="15" hidden="false" customHeight="false" outlineLevel="0" collapsed="false">
      <c r="A9" s="22" t="n">
        <v>46023</v>
      </c>
      <c r="B9" s="23" t="n">
        <v>0.0116</v>
      </c>
      <c r="C9" s="24" t="n">
        <f aca="false">MAX(0,MIN(EOMONTH(A9,0),Resumo!$C$12)-MAX(A9-1,Resumo!$C$10))/DAY(EOMONTH(A9,0))</f>
        <v>1</v>
      </c>
      <c r="D9" s="24" t="n">
        <f aca="false">MAX(0,MIN(EOMONTH(A9,0),Resumo!$C$12)-MAX(A9-1,Resumo!$C$11))/DAY(EOMONTH(A9,0))</f>
        <v>0</v>
      </c>
      <c r="E9" s="25" t="s">
        <v>57</v>
      </c>
      <c r="F9" s="10" t="s">
        <v>58</v>
      </c>
    </row>
    <row r="10" customFormat="false" ht="15" hidden="false" customHeight="false" outlineLevel="0" collapsed="false">
      <c r="A10" s="22" t="n">
        <v>46054</v>
      </c>
      <c r="B10" s="23" t="n">
        <v>0.01</v>
      </c>
      <c r="C10" s="24" t="n">
        <f aca="false">MAX(0,MIN(EOMONTH(A10,0),Resumo!$C$12)-MAX(A10-1,Resumo!$C$10))/DAY(EOMONTH(A10,0))</f>
        <v>1</v>
      </c>
      <c r="D10" s="24" t="n">
        <f aca="false">MAX(0,MIN(EOMONTH(A10,0),Resumo!$C$12)-MAX(A10-1,Resumo!$C$11))/DAY(EOMONTH(A10,0))</f>
        <v>0</v>
      </c>
      <c r="E10" s="25" t="s">
        <v>57</v>
      </c>
      <c r="F10" s="10" t="s">
        <v>58</v>
      </c>
    </row>
    <row r="11" customFormat="false" ht="15" hidden="false" customHeight="false" outlineLevel="0" collapsed="false">
      <c r="A11" s="22" t="n">
        <v>46082</v>
      </c>
      <c r="B11" s="23" t="n">
        <v>0.0121</v>
      </c>
      <c r="C11" s="24" t="n">
        <f aca="false">MAX(0,MIN(EOMONTH(A11,0),Resumo!$C$12)-MAX(A11-1,Resumo!$C$10))/DAY(EOMONTH(A11,0))</f>
        <v>1</v>
      </c>
      <c r="D11" s="24" t="n">
        <f aca="false">MAX(0,MIN(EOMONTH(A11,0),Resumo!$C$12)-MAX(A11-1,Resumo!$C$11))/DAY(EOMONTH(A11,0))</f>
        <v>0</v>
      </c>
      <c r="E11" s="25" t="s">
        <v>57</v>
      </c>
      <c r="F11" s="10" t="s">
        <v>58</v>
      </c>
    </row>
    <row r="12" customFormat="false" ht="15" hidden="false" customHeight="false" outlineLevel="0" collapsed="false">
      <c r="A12" s="22" t="n">
        <v>46113</v>
      </c>
      <c r="B12" s="23" t="n">
        <v>0.0109</v>
      </c>
      <c r="C12" s="24" t="n">
        <f aca="false">MAX(0,MIN(EOMONTH(A12,0),Resumo!$C$12)-MAX(A12-1,Resumo!$C$10))/DAY(EOMONTH(A12,0))</f>
        <v>1</v>
      </c>
      <c r="D12" s="24" t="n">
        <f aca="false">MAX(0,MIN(EOMONTH(A12,0),Resumo!$C$12)-MAX(A12-1,Resumo!$C$11))/DAY(EOMONTH(A12,0))</f>
        <v>0</v>
      </c>
      <c r="E12" s="25" t="s">
        <v>57</v>
      </c>
      <c r="F12" s="10" t="s">
        <v>58</v>
      </c>
    </row>
    <row r="13" customFormat="false" ht="15" hidden="false" customHeight="false" outlineLevel="0" collapsed="false">
      <c r="A13" s="22" t="n">
        <v>46143</v>
      </c>
      <c r="B13" s="23" t="n">
        <v>0.0107</v>
      </c>
      <c r="C13" s="24" t="n">
        <f aca="false">MAX(0,MIN(EOMONTH(A13,0),Resumo!$C$12)-MAX(A13-1,Resumo!$C$10))/DAY(EOMONTH(A13,0))</f>
        <v>1</v>
      </c>
      <c r="D13" s="24" t="n">
        <f aca="false">MAX(0,MIN(EOMONTH(A13,0),Resumo!$C$12)-MAX(A13-1,Resumo!$C$11))/DAY(EOMONTH(A13,0))</f>
        <v>0</v>
      </c>
      <c r="E13" s="25" t="s">
        <v>57</v>
      </c>
      <c r="F13" s="10" t="s">
        <v>58</v>
      </c>
    </row>
    <row r="14" customFormat="false" ht="15" hidden="false" customHeight="false" outlineLevel="0" collapsed="false">
      <c r="A14" s="22" t="n">
        <v>46174</v>
      </c>
      <c r="B14" s="23" t="n">
        <v>0.0112</v>
      </c>
      <c r="C14" s="24" t="n">
        <f aca="false">MAX(0,MIN(EOMONTH(A14,0),Resumo!$C$12)-MAX(A14-1,Resumo!$C$10))/DAY(EOMONTH(A14,0))</f>
        <v>1</v>
      </c>
      <c r="D14" s="24" t="n">
        <f aca="false">MAX(0,MIN(EOMONTH(A14,0),Resumo!$C$12)-MAX(A14-1,Resumo!$C$11))/DAY(EOMONTH(A14,0))</f>
        <v>0</v>
      </c>
      <c r="E14" s="25" t="s">
        <v>57</v>
      </c>
      <c r="F14" s="10" t="s">
        <v>58</v>
      </c>
    </row>
    <row r="15" customFormat="false" ht="15" hidden="false" customHeight="false" outlineLevel="0" collapsed="false">
      <c r="A15" s="22" t="n">
        <v>46204</v>
      </c>
      <c r="B15" s="23" t="n">
        <v>0.0122</v>
      </c>
      <c r="C15" s="24" t="n">
        <f aca="false">MAX(0,MIN(EOMONTH(A15,0),Resumo!$C$12)-MAX(A15-1,Resumo!$C$10))/DAY(EOMONTH(A15,0))</f>
        <v>1</v>
      </c>
      <c r="D15" s="24" t="n">
        <f aca="false">MAX(0,MIN(EOMONTH(A15,0),Resumo!$C$12)-MAX(A15-1,Resumo!$C$11))/DAY(EOMONTH(A15,0))</f>
        <v>0.032258064516129</v>
      </c>
      <c r="E15" s="25" t="s">
        <v>57</v>
      </c>
      <c r="F15" s="10" t="s">
        <v>58</v>
      </c>
    </row>
    <row r="16" customFormat="false" ht="15" hidden="false" customHeight="false" outlineLevel="0" collapsed="false">
      <c r="A16" s="22" t="n">
        <v>46235</v>
      </c>
      <c r="B16" s="23" t="n">
        <v>0.0099</v>
      </c>
      <c r="C16" s="24" t="n">
        <f aca="false">MAX(0,MIN(EOMONTH(A16,0),Resumo!$C$12)-MAX(A16-1,Resumo!$C$10))/DAY(EOMONTH(A16,0))</f>
        <v>1</v>
      </c>
      <c r="D16" s="24" t="n">
        <f aca="false">MAX(0,MIN(EOMONTH(A16,0),Resumo!$C$12)-MAX(A16-1,Resumo!$C$11))/DAY(EOMONTH(A16,0))</f>
        <v>1</v>
      </c>
      <c r="E16" s="25" t="s">
        <v>57</v>
      </c>
      <c r="F16" s="10" t="s">
        <v>58</v>
      </c>
    </row>
    <row r="17" customFormat="false" ht="23.85" hidden="false" customHeight="false" outlineLevel="0" collapsed="false">
      <c r="A17" s="22" t="n">
        <v>46266</v>
      </c>
      <c r="B17" s="23" t="n">
        <v>0.0099</v>
      </c>
      <c r="C17" s="24" t="n">
        <f aca="false">MAX(0,MIN(EOMONTH(A17,0),Resumo!$C$12)-MAX(A17-1,Resumo!$C$10))/DAY(EOMONTH(A17,0))</f>
        <v>1</v>
      </c>
      <c r="D17" s="24" t="n">
        <f aca="false">MAX(0,MIN(EOMONTH(A17,0),Resumo!$C$12)-MAX(A17-1,Resumo!$C$11))/DAY(EOMONTH(A17,0))</f>
        <v>1</v>
      </c>
      <c r="E17" s="25" t="s">
        <v>59</v>
      </c>
      <c r="F17" s="10" t="s">
        <v>60</v>
      </c>
    </row>
    <row r="18" customFormat="false" ht="23.85" hidden="false" customHeight="false" outlineLevel="0" collapsed="false">
      <c r="A18" s="22" t="n">
        <v>46296</v>
      </c>
      <c r="B18" s="23" t="n">
        <v>0.0099</v>
      </c>
      <c r="C18" s="24" t="n">
        <f aca="false">MAX(0,MIN(EOMONTH(A18,0),Resumo!$C$12)-MAX(A18-1,Resumo!$C$10))/DAY(EOMONTH(A18,0))</f>
        <v>0.967741935483871</v>
      </c>
      <c r="D18" s="24" t="n">
        <f aca="false">MAX(0,MIN(EOMONTH(A18,0),Resumo!$C$12)-MAX(A18-1,Resumo!$C$11))/DAY(EOMONTH(A18,0))</f>
        <v>0.967741935483871</v>
      </c>
      <c r="E18" s="25" t="s">
        <v>59</v>
      </c>
      <c r="F18" s="10" t="s">
        <v>60</v>
      </c>
    </row>
    <row r="20" customFormat="false" ht="25.35" hidden="false" customHeight="false" outlineLevel="0" collapsed="false">
      <c r="A20" s="3" t="s">
        <v>61</v>
      </c>
      <c r="B20" s="12"/>
      <c r="C20" s="26" t="n">
        <f aca="false">EXP(SUMPRODUCT(LN(1+$B$5:$B$18*C5:C18)))</f>
        <v>1.14407885292862</v>
      </c>
      <c r="D20" s="26" t="n">
        <f aca="false">EXP(SUMPRODUCT(LN(1+$B$5:$B$18*D5:D18)))</f>
        <v>1.03007451562321</v>
      </c>
    </row>
    <row r="21" customFormat="false" ht="15" hidden="false" customHeight="false" outlineLevel="0" collapsed="false">
      <c r="A21" s="3" t="s">
        <v>62</v>
      </c>
      <c r="B21" s="12"/>
      <c r="C21" s="27" t="n">
        <f aca="false">C20-1</f>
        <v>0.144078852928615</v>
      </c>
      <c r="D21" s="27" t="n">
        <f aca="false">D20-1</f>
        <v>0.0300745156232065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&amp;K123bb8Rua Rio Grande do Sul, 1641, bairro São Miguel, CEP: 64.130-000, Miguel Alves-PI – (86) 9 7400-9869 – paduanetojus@gmail.com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2026-10-30T09:38:44Z</dcterms:created>
  <dc:creator>openpyxl</dc:creator>
  <dc:description/>
  <dc:language>en-US</dc:language>
  <cp:lastModifiedBy/>
  <dcterms:modified xsi:type="dcterms:W3CDTF">2026-10-30T09:38:44Z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