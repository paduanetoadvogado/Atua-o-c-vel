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<sst xmlns="http://schemas.openxmlformats.org/spreadsheetml/2006/main" count="89" uniqueCount="63">
  <si>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</si>
  <si>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</si>
  <si>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</si>
  <si>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</si>
  <si>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</si>
  <si>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</si>
  <si>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</si>
  <si>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</si>
  <si>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</si>
  <si>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</si>
  <si>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</si>
  <si>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</si>
  <si>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</si>
  <si>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</si>
  <si>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</si>
  <si>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</si>
  <si>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</si>
  <si>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</si>
  <si>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</si>
  <si>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</si>
  <si>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</si>
  <si>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</si>
  <si>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</si>
  <si>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</si>
  <si>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</si>
  <si>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Indenização por danos morais</t>
  </si>
  <si>
    <t xml:space="preserve">Sentença, item II – SELIC desde o arbitramento (30/07/2026)</t>
  </si>
  <si>
    <t xml:space="preserve">3</t>
  </si>
  <si>
    <t xml:space="preserve">Subtotal da condenação (1 + 2)</t>
  </si>
  <si>
    <t xml:space="preserve">4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</si>
  <si>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</si>
  <si>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</si>
  <si>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</si>
  <si>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</si>
  <si>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</si>
  <si>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</si>
  <si>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5</t>
  </si>
  <si>
    <t xml:space="preserve">Multa</t>
  </si>
  <si>
    <t xml:space="preserve">Art. 523, § 1º, CPC</t>
  </si>
  <si>
    <t xml:space="preserve">6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</si>
  <si>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</si>
  <si>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</si>
  <si>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</si>
  <si>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</si>
  <si>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</si>
  <si>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</si>
  <si>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</si>
  <si>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</si>
  <si>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Células em amarelo devem ser conferidas antes do protocolo (índices SELIC não confirmados na série oficial).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</si>
  <si>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</si>
  <si>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Células amarelas: conferir com a série oficial antes do protocolo.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</si>
  <si>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</si>
  <si>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</si>
  <si>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</si>
  <si>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</si>
  <si>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</si>
  <si>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</si>
  <si>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Conferir</t>
  </si>
  <si>
    <t xml:space="preserve">Confirmar na série oficial do BCB</t>
  </si>
  <si>
    <t xml:space="preserve">Estimativa</t>
  </si>
  <si>
    <t xml:space="preserve">Mês sem dado disponível – substituir pelo índice oficial</t>
  </si>
  <si>
    <t xml:space="preserve">Fator acumulado</t>
  </si>
  <si>
    <t xml:space="preserve">Variação (%)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</si>
</sst>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.00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1.13219993830237</v>
      </c>
      <c r="E19" s="7" t="n">
        <f aca="false">ROUND(C19*D19,2)</f>
        <v>37642.72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v>2000</v>
      </c>
      <c r="D20" s="8" t="n">
        <f aca="false">SELIC!$D$20</f>
        <v>1.03007451562321</v>
      </c>
      <c r="E20" s="7" t="n">
        <f aca="false">ROUND(C20*D20,2)</f>
        <v>2060.15</v>
      </c>
      <c r="F20" s="9" t="s">
        <v>26</v>
      </c>
    </row>
    <row r="21" customFormat="false" ht="15" hidden="false" customHeight="false" outlineLevel="0" collapsed="false">
      <c r="A21" s="6" t="s">
        <v>27</v>
      </c>
      <c r="B21" s="3" t="s">
        <v>28</v>
      </c>
      <c r="C21" s="10" t="n">
        <f aca="false">C19+C20</f>
        <v>35247.41</v>
      </c>
      <c r="D21" s="11"/>
      <c r="E21" s="12" t="n">
        <f aca="false">E19+E20</f>
        <v>39702.87</v>
      </c>
      <c r="F21" s="11"/>
    </row>
    <row r="22" customFormat="false" ht="30" hidden="false" customHeight="true" outlineLevel="0" collapsed="false">
      <c r="A22" s="6" t="s">
        <v>29</v>
      </c>
      <c r="B22" s="4" t="s">
        <v>30</v>
      </c>
      <c r="C22" s="13" t="n">
        <v>0.1</v>
      </c>
      <c r="D22" s="6"/>
      <c r="E22" s="7" t="n">
        <f aca="false">ROUND(E21*C22,2)</f>
        <v>3970.29</v>
      </c>
      <c r="F22" s="9" t="s">
        <v>31</v>
      </c>
    </row>
    <row r="23" customFormat="false" ht="30" hidden="false" customHeight="true" outlineLevel="0" collapsed="false">
      <c r="A23" s="14"/>
      <c r="B23" s="15" t="s">
        <v>32</v>
      </c>
      <c r="C23" s="14"/>
      <c r="D23" s="14"/>
      <c r="E23" s="16" t="n">
        <f aca="false">E21+E22</f>
        <v>43673.16</v>
      </c>
      <c r="F23" s="14"/>
    </row>
    <row r="25" customFormat="false" ht="30" hidden="false" customHeight="true" outlineLevel="0" collapsed="false">
      <c r="A25" s="2"/>
      <c r="B25" s="2" t="s">
        <v>33</v>
      </c>
      <c r="C25" s="2"/>
      <c r="D25" s="2" t="s">
        <v>34</v>
      </c>
      <c r="E25" s="2" t="s">
        <v>35</v>
      </c>
      <c r="F25" s="2" t="s">
        <v>20</v>
      </c>
    </row>
    <row r="26" customFormat="false" ht="15" hidden="false" customHeight="true" outlineLevel="0" collapsed="false">
      <c r="A26" s="6" t="s">
        <v>36</v>
      </c>
      <c r="B26" s="4" t="s">
        <v>37</v>
      </c>
      <c r="C26" s="4"/>
      <c r="D26" s="13" t="n">
        <v>0.1</v>
      </c>
      <c r="E26" s="7" t="n">
        <f aca="false">ROUND($E$23*D26,2)</f>
        <v>4367.32</v>
      </c>
      <c r="F26" s="9" t="s">
        <v>38</v>
      </c>
    </row>
    <row r="27" customFormat="false" ht="15" hidden="false" customHeight="true" outlineLevel="0" collapsed="false">
      <c r="A27" s="6" t="s">
        <v>39</v>
      </c>
      <c r="B27" s="4" t="s">
        <v>40</v>
      </c>
      <c r="C27" s="4"/>
      <c r="D27" s="13" t="n">
        <v>0.1</v>
      </c>
      <c r="E27" s="7" t="n">
        <f aca="false">ROUND($E$23*D27,2)</f>
        <v>4367.32</v>
      </c>
      <c r="F27" s="9" t="s">
        <v>38</v>
      </c>
    </row>
    <row r="28" customFormat="false" ht="30" hidden="false" customHeight="true" outlineLevel="0" collapsed="false">
      <c r="A28" s="14"/>
      <c r="B28" s="17" t="s">
        <v>41</v>
      </c>
      <c r="C28" s="17"/>
      <c r="D28" s="17"/>
      <c r="E28" s="16" t="n">
        <f aca="false">E23+E26+E27</f>
        <v>52407.8</v>
      </c>
      <c r="F28" s="14"/>
    </row>
    <row r="30" customFormat="false" ht="15" hidden="false" customHeight="true" outlineLevel="0" collapsed="false">
      <c r="A30" s="18" t="s">
        <v>42</v>
      </c>
      <c r="B30" s="18"/>
      <c r="C30" s="18"/>
      <c r="D30" s="18"/>
      <c r="E30" s="18"/>
      <c r="F30" s="18"/>
    </row>
    <row r="31" customFormat="false" ht="30" hidden="false" customHeight="true" outlineLevel="0" collapsed="false">
      <c r="A31" s="9" t="s">
        <v>43</v>
      </c>
      <c r="B31" s="9"/>
      <c r="C31" s="9"/>
      <c r="D31" s="9"/>
      <c r="E31" s="9"/>
      <c r="F31" s="9"/>
    </row>
    <row r="32" customFormat="false" ht="30" hidden="false" customHeight="true" outlineLevel="0" collapsed="false">
      <c r="A32" s="9" t="s">
        <v>44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45</v>
      </c>
      <c r="B33" s="9"/>
      <c r="C33" s="9"/>
      <c r="D33" s="9"/>
      <c r="E33" s="9"/>
      <c r="F33" s="9"/>
    </row>
    <row r="34" customFormat="false" ht="30" hidden="false" customHeight="true" outlineLevel="0" collapsed="false">
      <c r="A34" s="9" t="s">
        <v>46</v>
      </c>
      <c r="B34" s="9"/>
      <c r="C34" s="9"/>
      <c r="D34" s="9"/>
      <c r="E34" s="9"/>
      <c r="F34" s="9"/>
    </row>
    <row r="35" customFormat="false" ht="30" hidden="false" customHeight="true" outlineLevel="0" collapsed="false">
      <c r="A35" s="9" t="s">
        <v>47</v>
      </c>
      <c r="B35" s="9"/>
      <c r="C35" s="9"/>
      <c r="D35" s="9"/>
      <c r="E35" s="9"/>
      <c r="F35" s="9"/>
    </row>
    <row r="36" customFormat="false" ht="30" hidden="false" customHeight="true" outlineLevel="0" collapsed="false">
      <c r="A36" s="9" t="s">
        <v>48</v>
      </c>
      <c r="B36" s="9"/>
      <c r="C36" s="9"/>
      <c r="D36" s="9"/>
      <c r="E36" s="9"/>
      <c r="F36" s="9"/>
    </row>
  </sheetData>
  <mergeCells count="21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5:C25"/>
    <mergeCell ref="B26:C26"/>
    <mergeCell ref="B27:C27"/>
    <mergeCell ref="B28:D28"/>
    <mergeCell ref="A30:F30"/>
    <mergeCell ref="A31:F31"/>
    <mergeCell ref="A32:F32"/>
    <mergeCell ref="A33:F33"/>
    <mergeCell ref="A34:F34"/>
    <mergeCell ref="A35:F35"/>
    <mergeCell ref="A36:F36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</cols>
  <sheetData>
    <row r="1" customFormat="false" ht="16.4" hidden="false" customHeight="true" outlineLevel="0" collapsed="false">
      <c r="A1" s="19" t="s">
        <v>49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0" t="s">
        <v>50</v>
      </c>
      <c r="B2" s="20"/>
      <c r="C2" s="20"/>
      <c r="D2" s="20"/>
      <c r="E2" s="20"/>
      <c r="F2" s="20"/>
    </row>
    <row r="4" customFormat="false" ht="42" hidden="false" customHeight="true" outlineLevel="0" collapsed="false">
      <c r="A4" s="2" t="s">
        <v>51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</row>
    <row r="5" customFormat="false" ht="15" hidden="false" customHeight="false" outlineLevel="0" collapsed="false">
      <c r="A5" s="21" t="n">
        <v>45901</v>
      </c>
      <c r="B5" s="22" t="n">
        <v>0.0122</v>
      </c>
      <c r="C5" s="23" t="n">
        <f aca="false">MAX(0,MIN(EOMONTH(A5,0),Resumo!$C$12)-MAX(A5-1,Resumo!$C$10))/DAY(EOMONTH(A5,0))</f>
        <v>0</v>
      </c>
      <c r="D5" s="23" t="n">
        <f aca="false">MAX(0,MIN(EOMONTH(A5,0),Resumo!$C$12)-MAX(A5-1,Resumo!$C$11))/DAY(EOMONTH(A5,0))</f>
        <v>0</v>
      </c>
      <c r="E5" s="24" t="s">
        <v>57</v>
      </c>
      <c r="F5" s="9" t="s">
        <v>58</v>
      </c>
    </row>
    <row r="6" customFormat="false" ht="15" hidden="false" customHeight="false" outlineLevel="0" collapsed="false">
      <c r="A6" s="21" t="n">
        <v>45931</v>
      </c>
      <c r="B6" s="22" t="n">
        <v>0.0128</v>
      </c>
      <c r="C6" s="23" t="n">
        <f aca="false">MAX(0,MIN(EOMONTH(A6,0),Resumo!$C$12)-MAX(A6-1,Resumo!$C$10))/DAY(EOMONTH(A6,0))</f>
        <v>0</v>
      </c>
      <c r="D6" s="23" t="n">
        <f aca="false">MAX(0,MIN(EOMONTH(A6,0),Resumo!$C$12)-MAX(A6-1,Resumo!$C$11))/DAY(EOMONTH(A6,0))</f>
        <v>0</v>
      </c>
      <c r="E6" s="24" t="s">
        <v>57</v>
      </c>
      <c r="F6" s="9" t="s">
        <v>58</v>
      </c>
    </row>
    <row r="7" customFormat="false" ht="15" hidden="false" customHeight="false" outlineLevel="0" collapsed="false">
      <c r="A7" s="21" t="n">
        <v>45962</v>
      </c>
      <c r="B7" s="22" t="n">
        <v>0.0105</v>
      </c>
      <c r="C7" s="23" t="n">
        <f aca="false">MAX(0,MIN(EOMONTH(A7,0),Resumo!$C$12)-MAX(A7-1,Resumo!$C$10))/DAY(EOMONTH(A7,0))</f>
        <v>0.433333333333333</v>
      </c>
      <c r="D7" s="23" t="n">
        <f aca="false">MAX(0,MIN(EOMONTH(A7,0),Resumo!$C$12)-MAX(A7-1,Resumo!$C$11))/DAY(EOMONTH(A7,0))</f>
        <v>0</v>
      </c>
      <c r="E7" s="24" t="s">
        <v>57</v>
      </c>
      <c r="F7" s="9" t="s">
        <v>58</v>
      </c>
    </row>
    <row r="8" customFormat="false" ht="15" hidden="false" customHeight="false" outlineLevel="0" collapsed="false">
      <c r="A8" s="21" t="n">
        <v>45992</v>
      </c>
      <c r="B8" s="22" t="n">
        <v>0.0122</v>
      </c>
      <c r="C8" s="23" t="n">
        <f aca="false">MAX(0,MIN(EOMONTH(A8,0),Resumo!$C$12)-MAX(A8-1,Resumo!$C$10))/DAY(EOMONTH(A8,0))</f>
        <v>1</v>
      </c>
      <c r="D8" s="23" t="n">
        <f aca="false">MAX(0,MIN(EOMONTH(A8,0),Resumo!$C$12)-MAX(A8-1,Resumo!$C$11))/DAY(EOMONTH(A8,0))</f>
        <v>0</v>
      </c>
      <c r="E8" s="24" t="s">
        <v>57</v>
      </c>
      <c r="F8" s="9" t="s">
        <v>58</v>
      </c>
    </row>
    <row r="9" customFormat="false" ht="15" hidden="false" customHeight="false" outlineLevel="0" collapsed="false">
      <c r="A9" s="21" t="n">
        <v>46023</v>
      </c>
      <c r="B9" s="22" t="n">
        <v>0.0116</v>
      </c>
      <c r="C9" s="23" t="n">
        <f aca="false">MAX(0,MIN(EOMONTH(A9,0),Resumo!$C$12)-MAX(A9-1,Resumo!$C$10))/DAY(EOMONTH(A9,0))</f>
        <v>1</v>
      </c>
      <c r="D9" s="23" t="n">
        <f aca="false">MAX(0,MIN(EOMONTH(A9,0),Resumo!$C$12)-MAX(A9-1,Resumo!$C$11))/DAY(EOMONTH(A9,0))</f>
        <v>0</v>
      </c>
      <c r="E9" s="24" t="s">
        <v>57</v>
      </c>
      <c r="F9" s="9" t="s">
        <v>58</v>
      </c>
    </row>
    <row r="10" customFormat="false" ht="15" hidden="false" customHeight="false" outlineLevel="0" collapsed="false">
      <c r="A10" s="21" t="n">
        <v>46054</v>
      </c>
      <c r="B10" s="22" t="n">
        <v>0.01</v>
      </c>
      <c r="C10" s="23" t="n">
        <f aca="false">MAX(0,MIN(EOMONTH(A10,0),Resumo!$C$12)-MAX(A10-1,Resumo!$C$10))/DAY(EOMONTH(A10,0))</f>
        <v>1</v>
      </c>
      <c r="D10" s="23" t="n">
        <f aca="false">MAX(0,MIN(EOMONTH(A10,0),Resumo!$C$12)-MAX(A10-1,Resumo!$C$11))/DAY(EOMONTH(A10,0))</f>
        <v>0</v>
      </c>
      <c r="E10" s="24" t="s">
        <v>57</v>
      </c>
      <c r="F10" s="9" t="s">
        <v>58</v>
      </c>
    </row>
    <row r="11" customFormat="false" ht="15" hidden="false" customHeight="false" outlineLevel="0" collapsed="false">
      <c r="A11" s="21" t="n">
        <v>46082</v>
      </c>
      <c r="B11" s="22" t="n">
        <v>0.0121</v>
      </c>
      <c r="C11" s="23" t="n">
        <f aca="false">MAX(0,MIN(EOMONTH(A11,0),Resumo!$C$12)-MAX(A11-1,Resumo!$C$10))/DAY(EOMONTH(A11,0))</f>
        <v>1</v>
      </c>
      <c r="D11" s="23" t="n">
        <f aca="false">MAX(0,MIN(EOMONTH(A11,0),Resumo!$C$12)-MAX(A11-1,Resumo!$C$11))/DAY(EOMONTH(A11,0))</f>
        <v>0</v>
      </c>
      <c r="E11" s="24" t="s">
        <v>57</v>
      </c>
      <c r="F11" s="9" t="s">
        <v>58</v>
      </c>
    </row>
    <row r="12" customFormat="false" ht="15" hidden="false" customHeight="false" outlineLevel="0" collapsed="false">
      <c r="A12" s="21" t="n">
        <v>46113</v>
      </c>
      <c r="B12" s="22" t="n">
        <v>0.0109</v>
      </c>
      <c r="C12" s="23" t="n">
        <f aca="false">MAX(0,MIN(EOMONTH(A12,0),Resumo!$C$12)-MAX(A12-1,Resumo!$C$10))/DAY(EOMONTH(A12,0))</f>
        <v>1</v>
      </c>
      <c r="D12" s="23" t="n">
        <f aca="false">MAX(0,MIN(EOMONTH(A12,0),Resumo!$C$12)-MAX(A12-1,Resumo!$C$11))/DAY(EOMONTH(A12,0))</f>
        <v>0</v>
      </c>
      <c r="E12" s="24" t="s">
        <v>57</v>
      </c>
      <c r="F12" s="9" t="s">
        <v>58</v>
      </c>
    </row>
    <row r="13" customFormat="false" ht="15" hidden="false" customHeight="false" outlineLevel="0" collapsed="false">
      <c r="A13" s="21" t="n">
        <v>46143</v>
      </c>
      <c r="B13" s="22" t="n">
        <v>0.0107</v>
      </c>
      <c r="C13" s="23" t="n">
        <f aca="false">MAX(0,MIN(EOMONTH(A13,0),Resumo!$C$12)-MAX(A13-1,Resumo!$C$10))/DAY(EOMONTH(A13,0))</f>
        <v>1</v>
      </c>
      <c r="D13" s="23" t="n">
        <f aca="false">MAX(0,MIN(EOMONTH(A13,0),Resumo!$C$12)-MAX(A13-1,Resumo!$C$11))/DAY(EOMONTH(A13,0))</f>
        <v>0</v>
      </c>
      <c r="E13" s="24" t="s">
        <v>57</v>
      </c>
      <c r="F13" s="9" t="s">
        <v>58</v>
      </c>
    </row>
    <row r="14" customFormat="false" ht="15" hidden="false" customHeight="false" outlineLevel="0" collapsed="false">
      <c r="A14" s="21" t="n">
        <v>46174</v>
      </c>
      <c r="B14" s="22" t="n">
        <v>0.0112</v>
      </c>
      <c r="C14" s="23" t="n">
        <f aca="false">MAX(0,MIN(EOMONTH(A14,0),Resumo!$C$12)-MAX(A14-1,Resumo!$C$10))/DAY(EOMONTH(A14,0))</f>
        <v>1</v>
      </c>
      <c r="D14" s="23" t="n">
        <f aca="false">MAX(0,MIN(EOMONTH(A14,0),Resumo!$C$12)-MAX(A14-1,Resumo!$C$11))/DAY(EOMONTH(A14,0))</f>
        <v>0</v>
      </c>
      <c r="E14" s="24" t="s">
        <v>57</v>
      </c>
      <c r="F14" s="9" t="s">
        <v>58</v>
      </c>
    </row>
    <row r="15" customFormat="false" ht="15" hidden="false" customHeight="false" outlineLevel="0" collapsed="false">
      <c r="A15" s="21" t="n">
        <v>46204</v>
      </c>
      <c r="B15" s="22" t="n">
        <v>0.0122</v>
      </c>
      <c r="C15" s="23" t="n">
        <f aca="false">MAX(0,MIN(EOMONTH(A15,0),Resumo!$C$12)-MAX(A15-1,Resumo!$C$10))/DAY(EOMONTH(A15,0))</f>
        <v>1</v>
      </c>
      <c r="D15" s="23" t="n">
        <f aca="false">MAX(0,MIN(EOMONTH(A15,0),Resumo!$C$12)-MAX(A15-1,Resumo!$C$11))/DAY(EOMONTH(A15,0))</f>
        <v>0.032258064516129</v>
      </c>
      <c r="E15" s="24" t="s">
        <v>57</v>
      </c>
      <c r="F15" s="9" t="s">
        <v>58</v>
      </c>
    </row>
    <row r="16" customFormat="false" ht="15" hidden="false" customHeight="false" outlineLevel="0" collapsed="false">
      <c r="A16" s="21" t="n">
        <v>46235</v>
      </c>
      <c r="B16" s="22" t="n">
        <v>0.0099</v>
      </c>
      <c r="C16" s="23" t="n">
        <f aca="false">MAX(0,MIN(EOMONTH(A16,0),Resumo!$C$12)-MAX(A16-1,Resumo!$C$10))/DAY(EOMONTH(A16,0))</f>
        <v>1</v>
      </c>
      <c r="D16" s="23" t="n">
        <f aca="false">MAX(0,MIN(EOMONTH(A16,0),Resumo!$C$12)-MAX(A16-1,Resumo!$C$11))/DAY(EOMONTH(A16,0))</f>
        <v>1</v>
      </c>
      <c r="E16" s="24" t="s">
        <v>57</v>
      </c>
      <c r="F16" s="9" t="s">
        <v>58</v>
      </c>
    </row>
    <row r="17" customFormat="false" ht="23.85" hidden="false" customHeight="false" outlineLevel="0" collapsed="false">
      <c r="A17" s="21" t="n">
        <v>46266</v>
      </c>
      <c r="B17" s="22" t="n">
        <v>0.0099</v>
      </c>
      <c r="C17" s="23" t="n">
        <f aca="false">MAX(0,MIN(EOMONTH(A17,0),Resumo!$C$12)-MAX(A17-1,Resumo!$C$10))/DAY(EOMONTH(A17,0))</f>
        <v>1</v>
      </c>
      <c r="D17" s="23" t="n">
        <f aca="false">MAX(0,MIN(EOMONTH(A17,0),Resumo!$C$12)-MAX(A17-1,Resumo!$C$11))/DAY(EOMONTH(A17,0))</f>
        <v>1</v>
      </c>
      <c r="E17" s="24" t="s">
        <v>59</v>
      </c>
      <c r="F17" s="9" t="s">
        <v>60</v>
      </c>
    </row>
    <row r="18" customFormat="false" ht="23.85" hidden="false" customHeight="false" outlineLevel="0" collapsed="false">
      <c r="A18" s="21" t="n">
        <v>46296</v>
      </c>
      <c r="B18" s="22" t="n">
        <v>0.0099</v>
      </c>
      <c r="C18" s="23" t="n">
        <f aca="false">MAX(0,MIN(EOMONTH(A18,0),Resumo!$C$12)-MAX(A18-1,Resumo!$C$10))/DAY(EOMONTH(A18,0))</f>
        <v>0.967741935483871</v>
      </c>
      <c r="D18" s="23" t="n">
        <f aca="false">MAX(0,MIN(EOMONTH(A18,0),Resumo!$C$12)-MAX(A18-1,Resumo!$C$11))/DAY(EOMONTH(A18,0))</f>
        <v>0.967741935483871</v>
      </c>
      <c r="E18" s="24" t="s">
        <v>59</v>
      </c>
      <c r="F18" s="9" t="s">
        <v>60</v>
      </c>
    </row>
    <row r="20" customFormat="false" ht="25.35" hidden="false" customHeight="false" outlineLevel="0" collapsed="false">
      <c r="A20" s="3" t="s">
        <v>61</v>
      </c>
      <c r="B20" s="11"/>
      <c r="C20" s="25" t="n">
        <f aca="false">EXP(SUMPRODUCT(LN(1+$B$5:$B$18*C5:C18)))</f>
        <v>1.13219993830237</v>
      </c>
      <c r="D20" s="25" t="n">
        <f aca="false">EXP(SUMPRODUCT(LN(1+$B$5:$B$18*D5:D18)))</f>
        <v>1.03007451562321</v>
      </c>
    </row>
    <row r="21" customFormat="false" ht="15" hidden="false" customHeight="false" outlineLevel="0" collapsed="false">
      <c r="A21" s="3" t="s">
        <v>62</v>
      </c>
      <c r="B21" s="11"/>
      <c r="C21" s="26" t="n">
        <f aca="false">C20-1</f>
        <v>0.13219993830237</v>
      </c>
      <c r="D21" s="26" t="n">
        <f aca="false">D20-1</f>
        <v>0.0300745156232065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2026-10-30T09:42:32Z</dcterms:created>
  <dc:creator>openpyxl</dc:creator>
  <dc:description/>
  <dc:language>en-US</dc:language>
  <cp:lastModifiedBy/>
  <dcterms:modified xsi:type="dcterms:W3CDTF">2026-10-30T09:42:32Z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